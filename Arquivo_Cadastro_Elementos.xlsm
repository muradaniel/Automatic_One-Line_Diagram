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PycharmProjects\Xlwings\"/>
    </mc:Choice>
  </mc:AlternateContent>
  <xr:revisionPtr revIDLastSave="0" documentId="13_ncr:1_{AE309B1F-4401-4E9F-9B34-4C7851AA6151}" xr6:coauthVersionLast="47" xr6:coauthVersionMax="47" xr10:uidLastSave="{00000000-0000-0000-0000-000000000000}"/>
  <bookViews>
    <workbookView xWindow="-28920" yWindow="-120" windowWidth="29040" windowHeight="15720" tabRatio="596" firstSheet="1" activeTab="2" xr2:uid="{31BFEAFF-49B5-486E-A0F2-7E685D2626CB}"/>
  </bookViews>
  <sheets>
    <sheet name="Dados Complementares" sheetId="5" state="hidden" r:id="rId1"/>
    <sheet name="Configuração" sheetId="24" r:id="rId2"/>
    <sheet name="Barra" sheetId="1" r:id="rId3"/>
    <sheet name="Linha" sheetId="2" r:id="rId4"/>
    <sheet name="Transformador" sheetId="7" r:id="rId5"/>
    <sheet name="Maquina" sheetId="3" r:id="rId6"/>
    <sheet name="Carga" sheetId="6" r:id="rId7"/>
    <sheet name="Transformador 3 Enrolamentos" sheetId="35" r:id="rId8"/>
  </sheets>
  <definedNames>
    <definedName name="_xleta.CELL" hidden="1" xlm="1">#NAME?</definedName>
    <definedName name="_xleta.NOT" hidden="1" xlm="1">#NAME?</definedName>
    <definedName name="Potencia_Base">'Dados Complementares'!$C$2</definedName>
    <definedName name="T">Barra!#REF!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5" i="2"/>
  <c r="D4" i="2"/>
  <c r="D3" i="2"/>
  <c r="K2" i="5" l="1" a="1"/>
  <c r="K2" i="5" s="1"/>
  <c r="C2" i="5" l="1"/>
  <c r="D2" i="2"/>
  <c r="P11" i="2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<sst xmlns="http://schemas.openxmlformats.org/spreadsheetml/2006/main" count="195" uniqueCount="135">
  <si>
    <t>Número</t>
  </si>
  <si>
    <t>Nome</t>
  </si>
  <si>
    <t>Barra de</t>
  </si>
  <si>
    <t>Barra para</t>
  </si>
  <si>
    <t>Potência Nominal (MVA)</t>
  </si>
  <si>
    <t>Tensão (kV)</t>
  </si>
  <si>
    <t>Tipo de Conexão</t>
  </si>
  <si>
    <t>Barra Conectada</t>
  </si>
  <si>
    <t>YT</t>
  </si>
  <si>
    <t>Y</t>
  </si>
  <si>
    <t>D</t>
  </si>
  <si>
    <t>YT-D</t>
  </si>
  <si>
    <t>Y-D</t>
  </si>
  <si>
    <t>YT-YT</t>
  </si>
  <si>
    <t>Y-Y</t>
  </si>
  <si>
    <t>D-YT</t>
  </si>
  <si>
    <t>D-Y</t>
  </si>
  <si>
    <t>Tensão Primário (kV)</t>
  </si>
  <si>
    <t>Tensão Secundário (kV)</t>
  </si>
  <si>
    <t>Potência Base (MVA)</t>
  </si>
  <si>
    <t>X1 (%)</t>
  </si>
  <si>
    <t>X0 (%)</t>
  </si>
  <si>
    <t>Barra 1</t>
  </si>
  <si>
    <t>Barra 3</t>
  </si>
  <si>
    <t>Barra 4</t>
  </si>
  <si>
    <t>Barra 2</t>
  </si>
  <si>
    <t>G1</t>
  </si>
  <si>
    <t>T1</t>
  </si>
  <si>
    <t>T2</t>
  </si>
  <si>
    <t>X1 (pu) Base</t>
  </si>
  <si>
    <t>X0 (pu) Base</t>
  </si>
  <si>
    <t>Trifásico</t>
  </si>
  <si>
    <t/>
  </si>
  <si>
    <t>Modelos de Curto</t>
  </si>
  <si>
    <t>Monofásico</t>
  </si>
  <si>
    <t>Bifásico</t>
  </si>
  <si>
    <t>Bifásico - Terra</t>
  </si>
  <si>
    <t>Imagem de Curto</t>
  </si>
  <si>
    <t>Nome do Caso de Estudo</t>
  </si>
  <si>
    <t>Selecione o Tipo de Curto</t>
  </si>
  <si>
    <t>Barra de Ocorrência de Falta</t>
  </si>
  <si>
    <t>ENTRE COM OS DADOS SOLICITADOS</t>
  </si>
  <si>
    <t>Tipo de Conexão Trafo</t>
  </si>
  <si>
    <t>Tipo de Conexão Maquina</t>
  </si>
  <si>
    <t>XN P (%)</t>
  </si>
  <si>
    <t>XN S (%)</t>
  </si>
  <si>
    <t>XN P (pu) Base</t>
  </si>
  <si>
    <t>G2</t>
  </si>
  <si>
    <t>Barra 5</t>
  </si>
  <si>
    <t>Barra 6</t>
  </si>
  <si>
    <t>Barra 7</t>
  </si>
  <si>
    <t>T3</t>
  </si>
  <si>
    <t>XN S (pu) Base</t>
  </si>
  <si>
    <t>Potência Ativa (%)</t>
  </si>
  <si>
    <t>Potência Reativa (%)</t>
  </si>
  <si>
    <t>Tipo de Maquina</t>
  </si>
  <si>
    <t>Gerador</t>
  </si>
  <si>
    <t>Motor</t>
  </si>
  <si>
    <t>Tipo de Máquina</t>
  </si>
  <si>
    <t>Barra P</t>
  </si>
  <si>
    <t>Barra S</t>
  </si>
  <si>
    <t>Barra T</t>
  </si>
  <si>
    <t>Tensão Terciário (kV)</t>
  </si>
  <si>
    <t>L5</t>
  </si>
  <si>
    <t>Barra 8</t>
  </si>
  <si>
    <t>Barra 9</t>
  </si>
  <si>
    <t>G3</t>
  </si>
  <si>
    <t>L6</t>
  </si>
  <si>
    <t>Impedância de Falta (pu)</t>
  </si>
  <si>
    <t>Caminho Excel</t>
  </si>
  <si>
    <t>Barra 10</t>
  </si>
  <si>
    <t>T4</t>
  </si>
  <si>
    <t>L1</t>
  </si>
  <si>
    <t>L2</t>
  </si>
  <si>
    <t>L3</t>
  </si>
  <si>
    <t>L4</t>
  </si>
  <si>
    <t>T5</t>
  </si>
  <si>
    <t>T6</t>
  </si>
  <si>
    <t>Barra 11</t>
  </si>
  <si>
    <t>Barra 12</t>
  </si>
  <si>
    <t>T7</t>
  </si>
  <si>
    <t>T8</t>
  </si>
  <si>
    <t>Linha 9-10</t>
  </si>
  <si>
    <t>Linha 10-11</t>
  </si>
  <si>
    <t>Linha 11-12</t>
  </si>
  <si>
    <t>L9.1</t>
  </si>
  <si>
    <t>L9.2</t>
  </si>
  <si>
    <t>L9.3</t>
  </si>
  <si>
    <t>L10.1</t>
  </si>
  <si>
    <t>L10.2</t>
  </si>
  <si>
    <t>L10.3</t>
  </si>
  <si>
    <t>L11.1</t>
  </si>
  <si>
    <t>L11.2</t>
  </si>
  <si>
    <t>L11.3</t>
  </si>
  <si>
    <t>L12.1</t>
  </si>
  <si>
    <t>L12.2</t>
  </si>
  <si>
    <t>L12.3</t>
  </si>
  <si>
    <t>T3-2</t>
  </si>
  <si>
    <t>T3-3</t>
  </si>
  <si>
    <t>Y-YT-D</t>
  </si>
  <si>
    <t>D-YT-D</t>
  </si>
  <si>
    <t>YT-Y-YT</t>
  </si>
  <si>
    <t>G4</t>
  </si>
  <si>
    <t>M1</t>
  </si>
  <si>
    <t>Tipo de Conexão Trafo 3E</t>
  </si>
  <si>
    <t>YT-YT-YT</t>
  </si>
  <si>
    <t>Y-Y-Y</t>
  </si>
  <si>
    <t>D-D-D</t>
  </si>
  <si>
    <t>Y-YT-YT</t>
  </si>
  <si>
    <t>Y-Y-YT</t>
  </si>
  <si>
    <t>Y-Y-D</t>
  </si>
  <si>
    <t>Y-YT-Y</t>
  </si>
  <si>
    <t>Y-D-Y</t>
  </si>
  <si>
    <t>Y-D-YT</t>
  </si>
  <si>
    <t>Y-D-D</t>
  </si>
  <si>
    <t>YT-Y-Y</t>
  </si>
  <si>
    <t>YT-Y-D</t>
  </si>
  <si>
    <t>YT-YT-Y</t>
  </si>
  <si>
    <t>YT-YT-D</t>
  </si>
  <si>
    <t>YT-D-Y</t>
  </si>
  <si>
    <t>YT-D-YT</t>
  </si>
  <si>
    <t>YT-D-D</t>
  </si>
  <si>
    <t>D-Y-Y</t>
  </si>
  <si>
    <t>D-Y-YT</t>
  </si>
  <si>
    <t>D-Y-D</t>
  </si>
  <si>
    <t>D-YT-Y</t>
  </si>
  <si>
    <t>D-YT-YT</t>
  </si>
  <si>
    <t>D-D-Y</t>
  </si>
  <si>
    <t>D-D-YT</t>
  </si>
  <si>
    <t>Exemplo 12 Barras</t>
  </si>
  <si>
    <t>Linha 7-8</t>
  </si>
  <si>
    <t>Linha 3-4</t>
  </si>
  <si>
    <t>Linha 12-11</t>
  </si>
  <si>
    <t>Linha Teste</t>
  </si>
  <si>
    <t>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</si>
</sst>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51316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1" xfId="0" applyFill="1" applyBorder="1"/>
    <xf numFmtId="0" fontId="0" fillId="2" borderId="0" xfId="0" quotePrefix="1" applyFill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6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0" fontId="0" fillId="0" borderId="0" xfId="0" applyAlignment="1" applyProtection="1">
      <alignment horizontal="center"/>
      <protection locked="0"/>
    </xf>
    <xf numFmtId="0" fontId="0" fillId="6" borderId="12" xfId="0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6" borderId="14" xfId="0" applyFill="1" applyBorder="1" applyAlignment="1" applyProtection="1">
      <alignment horizontal="center"/>
      <protection locked="0"/>
    </xf>
    <xf numFmtId="0" fontId="0" fillId="6" borderId="12" xfId="0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4" fontId="0" fillId="6" borderId="12" xfId="0" applyNumberFormat="1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0" xfId="0" applyNumberFormat="1" applyAlignment="1" applyProtection="1">
      <alignment horizontal="center"/>
      <protection locked="0"/>
    </xf>
    <xf numFmtId="164" fontId="0" fillId="0" borderId="15" xfId="0" applyNumberFormat="1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6" borderId="0" xfId="0" applyNumberFormat="1" applyFill="1" applyAlignment="1" applyProtection="1">
      <alignment horizontal="center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34">
    <dxf>
      <font>
        <b/>
        <i val="0"/>
        <color theme="0"/>
      </font>
      <fill>
        <patternFill>
          <bgColor rgb="FFFF0000"/>
        </patternFill>
      </fill>
    </dxf>
    <dxf>
      <numFmt numFmtId="164" formatCode="0.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  <dxf>
      <numFmt numFmtId="164" formatCode="0.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</dxfs>
  <tableStyles count="0" defaultTableStyle="TableStyleMedium2" defaultPivotStyle="PivotStyleLight16"/>
  <colors>
    <mruColors>
      <color rgb="FF141414"/>
      <color rgb="FFFF714F"/>
      <color rgb="FFFF3300"/>
      <color rgb="FFCC3300"/>
      <color rgb="FF990000"/>
      <color rgb="FF151316"/>
      <color rgb="FFDDDDDD"/>
      <color rgb="FF1048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129210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C0B61C4-B5ED-4EDB-A982-B9172E46A743}"/>
            </a:ext>
          </a:extLst>
        </xdr:cNvPr>
        <xdr:cNvSpPr/>
      </xdr:nvSpPr>
      <xdr:spPr>
        <a:xfrm>
          <a:off x="0" y="2116455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85725</xdr:colOff>
      <xdr:row>0</xdr:row>
      <xdr:rowOff>85725</xdr:rowOff>
    </xdr:from>
    <xdr:to>
      <xdr:col>1</xdr:col>
      <xdr:colOff>133994</xdr:colOff>
      <xdr:row>0</xdr:row>
      <xdr:rowOff>785130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C59554B0-55D2-419B-9D6C-3C03550A20FD}"/>
            </a:ext>
          </a:extLst>
        </xdr:cNvPr>
        <xdr:cNvSpPr/>
      </xdr:nvSpPr>
      <xdr:spPr>
        <a:xfrm rot="21430735">
          <a:off x="85725" y="85725"/>
          <a:ext cx="657869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130099</xdr:colOff>
      <xdr:row>0</xdr:row>
      <xdr:rowOff>129481</xdr:rowOff>
    </xdr:from>
    <xdr:to>
      <xdr:col>9</xdr:col>
      <xdr:colOff>242133</xdr:colOff>
      <xdr:row>0</xdr:row>
      <xdr:rowOff>722720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72D337F-6EE0-43C8-9AFC-4880750F19E1}"/>
            </a:ext>
          </a:extLst>
        </xdr:cNvPr>
        <xdr:cNvSpPr txBox="1"/>
      </xdr:nvSpPr>
      <xdr:spPr>
        <a:xfrm>
          <a:off x="739699" y="129481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Gerador Diagrama</a:t>
          </a:r>
        </a:p>
      </xdr:txBody>
    </xdr:sp>
    <xdr:clientData/>
  </xdr:twoCellAnchor>
  <xdr:twoCellAnchor editAs="absolute">
    <xdr:from>
      <xdr:col>11</xdr:col>
      <xdr:colOff>380999</xdr:colOff>
      <xdr:row>0</xdr:row>
      <xdr:rowOff>842210</xdr:rowOff>
    </xdr:from>
    <xdr:to>
      <xdr:col>19</xdr:col>
      <xdr:colOff>229327</xdr:colOff>
      <xdr:row>1</xdr:row>
      <xdr:rowOff>463669</xdr:rowOff>
    </xdr:to>
    <xdr:sp macro="" textlink="">
      <xdr:nvSpPr>
        <xdr:cNvPr id="140" name="CaixaDeTexto 139">
          <a:extLst>
            <a:ext uri="{FF2B5EF4-FFF2-40B4-BE49-F238E27FC236}">
              <a16:creationId xmlns:a16="http://schemas.microsoft.com/office/drawing/2014/main" id="{AD602C21-2761-4898-B12F-3FECA81764F8}"/>
            </a:ext>
          </a:extLst>
        </xdr:cNvPr>
        <xdr:cNvSpPr txBox="1"/>
      </xdr:nvSpPr>
      <xdr:spPr>
        <a:xfrm>
          <a:off x="7429499" y="842210"/>
          <a:ext cx="4741170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Configurações Gerais da Simulação</a:t>
          </a:r>
        </a:p>
      </xdr:txBody>
    </xdr:sp>
    <xdr:clientData/>
  </xdr:twoCellAnchor>
  <xdr:twoCellAnchor>
    <xdr:from>
      <xdr:col>13</xdr:col>
      <xdr:colOff>547687</xdr:colOff>
      <xdr:row>24</xdr:row>
      <xdr:rowOff>190499</xdr:rowOff>
    </xdr:from>
    <xdr:to>
      <xdr:col>18</xdr:col>
      <xdr:colOff>0</xdr:colOff>
      <xdr:row>28</xdr:row>
      <xdr:rowOff>107155</xdr:rowOff>
    </xdr:to>
    <xdr:sp macro="[0]!EscolherEExecutarEXE" textlink="">
      <xdr:nvSpPr>
        <xdr:cNvPr id="9" name="Retângulo 8">
          <a:extLst>
            <a:ext uri="{FF2B5EF4-FFF2-40B4-BE49-F238E27FC236}">
              <a16:creationId xmlns:a16="http://schemas.microsoft.com/office/drawing/2014/main" id="{B4070E66-4BC8-FDF4-23E3-908166BBC386}"/>
            </a:ext>
          </a:extLst>
        </xdr:cNvPr>
        <xdr:cNvSpPr/>
      </xdr:nvSpPr>
      <xdr:spPr>
        <a:xfrm>
          <a:off x="8763000" y="6691312"/>
          <a:ext cx="2488406" cy="726281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GERAR</a:t>
          </a:r>
          <a:r>
            <a:rPr lang="pt-BR" sz="2000" baseline="0"/>
            <a:t> DIAGRAMA</a:t>
          </a:r>
          <a:endParaRPr lang="pt-BR" sz="2000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0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66872D-2CF4-4D76-9F08-A6AACF2F007E}" name="Barra" displayName="Barra" ref="A1:C13" totalsRowShown="0" headerRowDxfId="33" dataDxfId="32">
  <autoFilter ref="A1:C13" xr:uid="{2066872D-2CF4-4D76-9F08-A6AACF2F007E}"/>
  <sortState xmlns:xlrd2="http://schemas.microsoft.com/office/spreadsheetml/2017/richdata2" ref="A2:C5">
    <sortCondition ref="B1:B5"/>
  </sortState>
  <tableColumns count="3">
    <tableColumn id="1" xr3:uid="{33FAF94A-709D-4632-9D5A-8640511FE23B}" name="Nome" dataDxfId="31"/>
    <tableColumn id="2" xr3:uid="{343E2D8A-16E8-4868-B360-07D31EAB326A}" name="Número" dataDxfId="30"/>
    <tableColumn id="3" xr3:uid="{7C3BA5D9-54FA-4E49-8E2E-E3D85AAB9D95}" name="Tensão (kV)" dataDxfId="2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42C92D-36DA-414C-849B-BDEF7F1F998B}" name="Tabela8" displayName="Tabela8" ref="A1:E8" totalsRowShown="0" headerRowDxfId="28" tableBorderDxfId="27">
  <autoFilter ref="A1:E8" xr:uid="{1A42C92D-36DA-414C-849B-BDEF7F1F998B}"/>
  <tableColumns count="5">
    <tableColumn id="1" xr3:uid="{33A97E4F-D43D-458F-9750-2EB542D11898}" name="Nome" dataDxfId="26"/>
    <tableColumn id="2" xr3:uid="{05BD1916-D65E-4A84-9FFF-2B79076299B7}" name="Barra de" dataDxfId="25"/>
    <tableColumn id="3" xr3:uid="{726B1A75-6DEA-4DF2-9EE3-40D11578E8DA}" name="Barra para" dataDxfId="24"/>
    <tableColumn id="4" xr3:uid="{BDD8F846-4D39-46F9-8254-74EA0C2A6B1D}" name="Tensão (kV)">
      <calculatedColumnFormula>IF(B2="","",_xlfn.XLOOKUP(B2,Barra!B:B,Barra!C:C,"Inserir Barramento",0))</calculatedColumnFormula>
    </tableColumn>
    <tableColumn id="5" xr3:uid="{709C09CF-D5D4-484B-9339-DD322141848A}" name="Potência Nominal (MVA)" dataDxfId="23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1F846C-ED67-400A-9128-8BA6BD98FC4E}" name="Tabela1" displayName="Tabela1" ref="A1:G10" totalsRowShown="0" headerRowDxfId="22" tableBorderDxfId="21">
  <autoFilter ref="A1:G10" xr:uid="{AA1F846C-ED67-400A-9128-8BA6BD98FC4E}"/>
  <tableColumns count="7">
    <tableColumn id="1" xr3:uid="{271BDBC6-678B-456D-B8CB-C3C8B34F9E22}" name="Nome"/>
    <tableColumn id="2" xr3:uid="{5A34E48C-5E62-4E9D-A1B9-5D0B054C2414}" name="Potência Nominal (MVA)"/>
    <tableColumn id="3" xr3:uid="{9D54EBEC-FBD2-4BF0-B4FC-B0536C6E27E7}" name="Barra de"/>
    <tableColumn id="4" xr3:uid="{51AA046C-D923-4B15-A537-589B1E888FD7}" name="Tensão Primário (kV)"/>
    <tableColumn id="5" xr3:uid="{5B16F0DD-44EA-436F-A947-99CC186A8573}" name="Barra para"/>
    <tableColumn id="6" xr3:uid="{7ACE01AF-ABD0-45EB-A267-47FA4A30D765}" name="Tensão Secundário (kV)" dataDxfId="20"/>
    <tableColumn id="11" xr3:uid="{BAF8F730-67CF-4A45-B83B-486EA61368AE}" name="Tipo de Conexão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923889-CE49-4965-8665-D8CB3269DD66}" name="Gerador" displayName="Gerador" ref="A1:F6" totalsRowShown="0" headerRowDxfId="19">
  <autoFilter ref="A1:F6" xr:uid="{EA923889-CE49-4965-8665-D8CB3269DD66}"/>
  <tableColumns count="6">
    <tableColumn id="1" xr3:uid="{F0A18EA2-C1DE-4158-9D8A-D1E601F8B8DD}" name="Nome" dataDxfId="18"/>
    <tableColumn id="11" xr3:uid="{0BA0393B-642C-4AB0-B9CB-ABE64351DF76}" name="Tipo de Máquina" dataDxfId="17"/>
    <tableColumn id="2" xr3:uid="{4280C238-87A6-491F-8110-354D7D9D0A8C}" name="Barra Conectada" dataDxfId="16"/>
    <tableColumn id="3" xr3:uid="{D048F92B-8775-4630-B7DA-109A1D6D99AD}" name="Potência Nominal (MVA)" dataDxfId="15"/>
    <tableColumn id="4" xr3:uid="{2C7FD4CC-59C7-4EE9-BB93-3B7629C74722}" name="Tensão (kV)" dataDxfId="14"/>
    <tableColumn id="7" xr3:uid="{FDD87192-27CF-4E51-936E-3D39DE4DD738}" name="Tipo de Conexão" dataDxfId="13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B9F70-6423-42E7-84A3-315DC7E60A6D}" name="Carga" displayName="Carga" ref="A1:F19" totalsRowShown="0" headerRowDxfId="12" dataDxfId="11">
  <autoFilter ref="A1:F19" xr:uid="{909B9F70-6423-42E7-84A3-315DC7E60A6D}"/>
  <tableColumns count="6">
    <tableColumn id="1" xr3:uid="{CA4D006E-CB2F-44DD-A4B2-081BF5096D8A}" name="Nome" dataDxfId="10"/>
    <tableColumn id="2" xr3:uid="{B9379592-E3BB-4C6B-BDA2-677E60F13483}" name="Barra Conectada" dataDxfId="9"/>
    <tableColumn id="5" xr3:uid="{B8923534-25FA-436F-B955-694F5EAFAC3B}" name="Tensão (kV)" dataDxfId="8"/>
    <tableColumn id="3" xr3:uid="{7FF18B6F-A0B2-4E18-9510-25102219E99C}" name="Potência Ativa (%)" dataDxfId="7"/>
    <tableColumn id="4" xr3:uid="{8D071231-8038-40C4-9BEC-89BD20F2E3F7}" name="Potência Reativa (%)" dataDxfId="6"/>
    <tableColumn id="7" xr3:uid="{959E7119-8339-4FD9-B5CE-9F5D4C61A2B3}" name="Tipo de Conexão" dataDxfId="5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0547FB-0486-46C0-8D20-77F111FB651C}" name="Tabela14" displayName="Tabela14" ref="A1:Q3" totalsRowShown="0" headerRowDxfId="4" tableBorderDxfId="3">
  <autoFilter ref="A1:Q3" xr:uid="{4C4CABB3-D8DF-4D1D-A978-DA51FEA7168D}"/>
  <tableColumns count="17">
    <tableColumn id="1" xr3:uid="{FEA22906-0418-46A2-A5E7-E89B56CBF92B}" name="Nome"/>
    <tableColumn id="2" xr3:uid="{A0F21BA0-26EE-422E-BAD9-894AC1D146B0}" name="Potência Nominal (MVA)"/>
    <tableColumn id="3" xr3:uid="{1A6E9024-27B2-4010-A941-0FF45581E363}" name="Barra P"/>
    <tableColumn id="4" xr3:uid="{0B97C788-0C40-4CCE-BFD4-A4EF26F8D8AB}" name="Tensão Primário (kV)"/>
    <tableColumn id="5" xr3:uid="{0DBFC6EE-1B94-48D3-A41B-F771BB82B76D}" name="Barra S"/>
    <tableColumn id="6" xr3:uid="{59EF7556-2C43-406E-8196-4EA978E7E347}" name="Tensão Secundário (kV)"/>
    <tableColumn id="16" xr3:uid="{781D7E86-8440-40FA-AFB3-D788071F2A71}" name="Barra T" dataDxfId="2"/>
    <tableColumn id="17" xr3:uid="{A254C6E5-2D26-4DCA-A6DC-0BC11A175E1B}" name="Tensão Terciário (kV)" dataDxfId="1"/>
    <tableColumn id="7" xr3:uid="{347FF4B7-F1DC-48B6-85D1-934F3231BB29}" name="X1 (%)"/>
    <tableColumn id="8" xr3:uid="{29159FD4-160F-4AE3-99D0-F25F1E90E068}" name="X0 (%)"/>
    <tableColumn id="9" xr3:uid="{7648A362-2256-4B14-A55F-EAE6284D25F8}" name="XN P (%)"/>
    <tableColumn id="10" xr3:uid="{D640311E-95E0-4528-BC18-D5C4D9D13DD1}" name="XN S (%)"/>
    <tableColumn id="11" xr3:uid="{9CDF4948-3DC0-4F90-BAA8-341953D7CE6B}" name="Tipo de Conexão"/>
    <tableColumn id="12" xr3:uid="{E0B46714-8599-4B6F-A68E-41A2CD19A10B}" name="X1 (pu) Base"/>
    <tableColumn id="13" xr3:uid="{7D13A0D8-2DA9-419E-A431-0BA9F6C8AEE0}" name="X0 (pu) Base"/>
    <tableColumn id="14" xr3:uid="{A80FAD82-4E8A-4645-B8C9-17D6DA1E3D91}" name="XN P (pu) Base"/>
    <tableColumn id="15" xr3:uid="{61F76A53-CC1B-4649-8FAE-377BC4442272}" name="XN S (pu) Bas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5D0C-4612-403C-A878-C118EAE98162}">
  <sheetPr codeName="Planilha1">
    <tabColor theme="0" tint="-0.499984740745262"/>
  </sheetPr>
  <dimension ref="A1:K28"/>
  <sheetViews>
    <sheetView topLeftCell="A1048549" zoomScaleNormal="100" workbookViewId="0">
      <selection activeCell="F1" sqref="F1"/>
    </sheetView>
  </sheetViews>
  <sheetFormatPr defaultRowHeight="15" x14ac:dyDescent="0.25"/>
  <cols>
    <col min="1" max="1" width="21.42578125" style="4" bestFit="1" customWidth="1"/>
    <col min="2" max="2" width="24.140625" style="4" bestFit="1" customWidth="1"/>
    <col min="3" max="3" width="19.42578125" style="4" bestFit="1" customWidth="1"/>
    <col min="4" max="4" width="24" style="4" bestFit="1" customWidth="1"/>
    <col min="5" max="6" width="19.42578125" style="4" customWidth="1"/>
    <col min="7" max="7" width="14.28515625" style="4" bestFit="1" customWidth="1"/>
    <col min="8" max="8" width="41.5703125" style="4" customWidth="1"/>
    <col min="9" max="9" width="16.5703125" style="4" bestFit="1" customWidth="1"/>
    <col min="10" max="10" width="15.7109375" style="4" bestFit="1" customWidth="1"/>
    <col min="11" max="11" width="112" style="4" bestFit="1" customWidth="1"/>
    <col min="12" max="16384" width="9.140625" style="4"/>
  </cols>
  <sheetData>
    <row r="1" spans="1:11" s="1" customFormat="1" x14ac:dyDescent="0.25">
      <c r="A1" s="1" t="s">
        <v>42</v>
      </c>
      <c r="B1" s="1" t="s">
        <v>43</v>
      </c>
      <c r="C1" s="1" t="s">
        <v>19</v>
      </c>
      <c r="D1" s="1" t="s">
        <v>104</v>
      </c>
      <c r="H1" s="1" t="s">
        <v>33</v>
      </c>
      <c r="I1" s="1" t="s">
        <v>37</v>
      </c>
      <c r="J1" s="1" t="s">
        <v>55</v>
      </c>
      <c r="K1" s="1" t="s">
        <v>69</v>
      </c>
    </row>
    <row r="2" spans="1:11" x14ac:dyDescent="0.25">
      <c r="A2" s="4" t="s">
        <v>11</v>
      </c>
      <c r="B2" s="4" t="s">
        <v>8</v>
      </c>
      <c r="C2" s="4">
        <f>Configuração!P24</f>
        <v>100</v>
      </c>
      <c r="D2" s="36" t="s">
        <v>106</v>
      </c>
      <c r="E2" s="35"/>
      <c r="H2" s="4" t="s">
        <v>34</v>
      </c>
      <c r="I2" s="4" t="e" vm="1">
        <v>#VALUE!</v>
      </c>
      <c r="J2" s="4" t="s">
        <v>56</v>
      </c>
      <c r="K2" s="4" t="str" cm="1">
        <f t="array" aca="1" ref="K2" ca="1">SUBSTITUTE(
SUBSTITUTE(
MID(
CELL("nome.arquivo"),
1,
FIND("]",CELL("nome.arquivo"))), "[", ""), "]", "")</f>
        <v>C:\Users\danie\PycharmProjects\Xlwings\Arquivo_Cadastro_Elementos.xlsm</v>
      </c>
    </row>
    <row r="3" spans="1:11" x14ac:dyDescent="0.25">
      <c r="A3" s="4" t="s">
        <v>12</v>
      </c>
      <c r="B3" s="4" t="s">
        <v>9</v>
      </c>
      <c r="D3" s="36" t="s">
        <v>109</v>
      </c>
      <c r="H3" s="4" t="s">
        <v>35</v>
      </c>
      <c r="I3" s="4" t="e" vm="2">
        <v>#VALUE!</v>
      </c>
      <c r="J3" s="4" t="s">
        <v>57</v>
      </c>
    </row>
    <row r="4" spans="1:11" x14ac:dyDescent="0.25">
      <c r="A4" s="4" t="s">
        <v>13</v>
      </c>
      <c r="B4" s="4" t="s">
        <v>10</v>
      </c>
      <c r="D4" s="36" t="s">
        <v>110</v>
      </c>
      <c r="H4" s="4" t="s">
        <v>36</v>
      </c>
      <c r="I4" s="4" t="e" vm="3">
        <v>#VALUE!</v>
      </c>
    </row>
    <row r="5" spans="1:11" x14ac:dyDescent="0.25">
      <c r="A5" s="4" t="s">
        <v>14</v>
      </c>
      <c r="D5" s="36" t="s">
        <v>111</v>
      </c>
      <c r="H5" s="4" t="s">
        <v>31</v>
      </c>
      <c r="I5" s="4" t="e" vm="4">
        <v>#VALUE!</v>
      </c>
    </row>
    <row r="6" spans="1:11" x14ac:dyDescent="0.25">
      <c r="A6" s="4" t="s">
        <v>15</v>
      </c>
      <c r="D6" s="36" t="s">
        <v>108</v>
      </c>
    </row>
    <row r="7" spans="1:11" x14ac:dyDescent="0.25">
      <c r="A7" s="4" t="s">
        <v>16</v>
      </c>
      <c r="D7" s="36" t="s">
        <v>99</v>
      </c>
    </row>
    <row r="8" spans="1:11" x14ac:dyDescent="0.25">
      <c r="D8" s="36" t="s">
        <v>112</v>
      </c>
    </row>
    <row r="9" spans="1:11" x14ac:dyDescent="0.25">
      <c r="D9" s="36" t="s">
        <v>113</v>
      </c>
    </row>
    <row r="10" spans="1:11" x14ac:dyDescent="0.25">
      <c r="D10" s="36" t="s">
        <v>114</v>
      </c>
    </row>
    <row r="11" spans="1:11" x14ac:dyDescent="0.25">
      <c r="D11" s="36" t="s">
        <v>115</v>
      </c>
    </row>
    <row r="12" spans="1:11" x14ac:dyDescent="0.25">
      <c r="D12" s="36" t="s">
        <v>101</v>
      </c>
    </row>
    <row r="13" spans="1:11" x14ac:dyDescent="0.25">
      <c r="D13" s="36" t="s">
        <v>116</v>
      </c>
    </row>
    <row r="14" spans="1:11" x14ac:dyDescent="0.25">
      <c r="D14" s="36" t="s">
        <v>117</v>
      </c>
    </row>
    <row r="15" spans="1:11" x14ac:dyDescent="0.25">
      <c r="D15" s="36" t="s">
        <v>105</v>
      </c>
    </row>
    <row r="16" spans="1:11" x14ac:dyDescent="0.25">
      <c r="D16" s="36" t="s">
        <v>118</v>
      </c>
    </row>
    <row r="17" spans="4:8" x14ac:dyDescent="0.25">
      <c r="D17" s="36" t="s">
        <v>119</v>
      </c>
    </row>
    <row r="18" spans="4:8" x14ac:dyDescent="0.25">
      <c r="D18" s="36" t="s">
        <v>120</v>
      </c>
    </row>
    <row r="19" spans="4:8" x14ac:dyDescent="0.25">
      <c r="D19" s="36" t="s">
        <v>121</v>
      </c>
    </row>
    <row r="20" spans="4:8" x14ac:dyDescent="0.25">
      <c r="D20" s="36" t="s">
        <v>122</v>
      </c>
    </row>
    <row r="21" spans="4:8" x14ac:dyDescent="0.25">
      <c r="D21" s="36" t="s">
        <v>123</v>
      </c>
    </row>
    <row r="22" spans="4:8" x14ac:dyDescent="0.25">
      <c r="D22" s="36" t="s">
        <v>124</v>
      </c>
    </row>
    <row r="23" spans="4:8" x14ac:dyDescent="0.25">
      <c r="D23" s="36" t="s">
        <v>125</v>
      </c>
    </row>
    <row r="24" spans="4:8" x14ac:dyDescent="0.25">
      <c r="D24" s="36" t="s">
        <v>126</v>
      </c>
    </row>
    <row r="25" spans="4:8" x14ac:dyDescent="0.25">
      <c r="D25" s="36" t="s">
        <v>100</v>
      </c>
    </row>
    <row r="26" spans="4:8" x14ac:dyDescent="0.25">
      <c r="D26" s="36" t="s">
        <v>127</v>
      </c>
    </row>
    <row r="27" spans="4:8" x14ac:dyDescent="0.25">
      <c r="D27" s="36" t="s">
        <v>128</v>
      </c>
      <c r="H27" s="8"/>
    </row>
    <row r="28" spans="4:8" x14ac:dyDescent="0.25">
      <c r="D28" s="36" t="s">
        <v>107</v>
      </c>
    </row>
  </sheetData>
  <sheetProtection selectLockedCells="1" selectUnlockedCells="1"/>
  <dataValidations count="2">
    <dataValidation type="list" allowBlank="1" showInputMessage="1" showErrorMessage="1" sqref="E30:E1048576" xr:uid="{3BBB52DA-4F66-4B7B-B560-FD73C65A3BFA}">
      <formula1>"Monofásico,Bifásico, Bifásico-Terra, Trifásico"</formula1>
    </dataValidation>
    <dataValidation type="list" allowBlank="1" showInputMessage="1" showErrorMessage="1" sqref="G24" xr:uid="{8FDE8D77-4AA9-49AB-975D-4CE6743905F1}">
      <formula1>$H$2:$H$5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299-7033-4042-A85F-F6ED5559EE31}">
  <sheetPr codeName="Planilha10">
    <tabColor theme="7" tint="0.59999389629810485"/>
  </sheetPr>
  <dimension ref="A1:AL29"/>
  <sheetViews>
    <sheetView showGridLines="0" showRowColHeaders="0" zoomScale="70" zoomScaleNormal="70" workbookViewId="0">
      <selection activeCell="W17" sqref="W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3" max="3" width="14" customWidth="1"/>
    <col min="11" max="11" width="9.140625" customWidth="1"/>
  </cols>
  <sheetData>
    <row r="1" spans="1:38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7" t="s">
        <v>32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4" spans="1:38" ht="15.75" thickBot="1" x14ac:dyDescent="0.3"/>
    <row r="5" spans="1:38" ht="18.75" x14ac:dyDescent="0.3">
      <c r="L5" s="41" t="s">
        <v>41</v>
      </c>
      <c r="M5" s="42"/>
      <c r="N5" s="42"/>
      <c r="O5" s="42"/>
      <c r="P5" s="42"/>
      <c r="Q5" s="42"/>
      <c r="R5" s="42"/>
      <c r="S5" s="42"/>
      <c r="T5" s="43"/>
    </row>
    <row r="6" spans="1:38" ht="19.5" thickBot="1" x14ac:dyDescent="0.35">
      <c r="L6" s="10"/>
      <c r="M6" s="11"/>
      <c r="N6" s="11"/>
      <c r="O6" s="11"/>
      <c r="P6" s="11"/>
      <c r="Q6" s="11"/>
      <c r="R6" s="11"/>
      <c r="S6" s="11"/>
      <c r="T6" s="12"/>
    </row>
    <row r="7" spans="1:38" ht="19.5" thickBot="1" x14ac:dyDescent="0.35">
      <c r="L7" s="10"/>
      <c r="M7" s="11"/>
      <c r="N7" s="11"/>
      <c r="O7" s="13" t="s">
        <v>38</v>
      </c>
      <c r="P7" s="38" t="s">
        <v>129</v>
      </c>
      <c r="Q7" s="39"/>
      <c r="R7" s="39"/>
      <c r="S7" s="40"/>
      <c r="T7" s="12"/>
    </row>
    <row r="8" spans="1:38" ht="19.5" thickBot="1" x14ac:dyDescent="0.35">
      <c r="L8" s="10"/>
      <c r="M8" s="11"/>
      <c r="N8" s="11"/>
      <c r="O8" s="13"/>
      <c r="P8" s="11"/>
      <c r="Q8" s="11"/>
      <c r="R8" s="11"/>
      <c r="S8" s="11"/>
      <c r="T8" s="12"/>
    </row>
    <row r="9" spans="1:38" ht="19.5" thickBot="1" x14ac:dyDescent="0.35">
      <c r="L9" s="10"/>
      <c r="M9" s="11"/>
      <c r="N9" s="11"/>
      <c r="O9" s="13" t="s">
        <v>39</v>
      </c>
      <c r="P9" s="38" t="s">
        <v>34</v>
      </c>
      <c r="Q9" s="39"/>
      <c r="R9" s="39"/>
      <c r="S9" s="40"/>
      <c r="T9" s="12"/>
    </row>
    <row r="10" spans="1:38" ht="18.75" x14ac:dyDescent="0.3">
      <c r="L10" s="10"/>
      <c r="M10" s="11"/>
      <c r="N10" s="11"/>
      <c r="O10" s="13"/>
      <c r="P10" s="11"/>
      <c r="Q10" s="11"/>
      <c r="R10" s="11"/>
      <c r="S10" s="11"/>
      <c r="T10" s="12"/>
    </row>
    <row r="11" spans="1:38" ht="18.75" x14ac:dyDescent="0.3">
      <c r="L11" s="10"/>
      <c r="M11" s="11"/>
      <c r="N11" s="11"/>
      <c r="O11" s="13"/>
      <c r="P11" s="44" t="e" vm="5">
        <f>_xlfn.XLOOKUP(Configuração!P9,'Dados Complementares'!H2:H6,'Dados Complementares'!I2:I6,"-",0)</f>
        <v>#VALUE!</v>
      </c>
      <c r="Q11" s="44"/>
      <c r="R11" s="44"/>
      <c r="S11" s="44"/>
      <c r="T11" s="12"/>
    </row>
    <row r="12" spans="1:38" ht="18.75" x14ac:dyDescent="0.3">
      <c r="L12" s="10"/>
      <c r="M12" s="11"/>
      <c r="N12" s="11"/>
      <c r="O12" s="11"/>
      <c r="P12" s="44"/>
      <c r="Q12" s="44"/>
      <c r="R12" s="44"/>
      <c r="S12" s="44"/>
      <c r="T12" s="12"/>
    </row>
    <row r="13" spans="1:38" ht="18.75" x14ac:dyDescent="0.3">
      <c r="L13" s="10"/>
      <c r="M13" s="11"/>
      <c r="N13" s="11"/>
      <c r="O13" s="11"/>
      <c r="P13" s="44"/>
      <c r="Q13" s="44"/>
      <c r="R13" s="44"/>
      <c r="S13" s="44"/>
      <c r="T13" s="12"/>
    </row>
    <row r="14" spans="1:38" ht="18.75" x14ac:dyDescent="0.3">
      <c r="L14" s="10"/>
      <c r="M14" s="11"/>
      <c r="N14" s="11"/>
      <c r="O14" s="11"/>
      <c r="P14" s="44"/>
      <c r="Q14" s="44"/>
      <c r="R14" s="44"/>
      <c r="S14" s="44"/>
      <c r="T14" s="12"/>
    </row>
    <row r="15" spans="1:38" ht="18.75" x14ac:dyDescent="0.3">
      <c r="L15" s="10"/>
      <c r="M15" s="11"/>
      <c r="N15" s="11"/>
      <c r="O15" s="11"/>
      <c r="P15" s="44"/>
      <c r="Q15" s="44"/>
      <c r="R15" s="44"/>
      <c r="S15" s="44"/>
      <c r="T15" s="12"/>
    </row>
    <row r="16" spans="1:38" ht="18.75" x14ac:dyDescent="0.3">
      <c r="L16" s="10"/>
      <c r="M16" s="11"/>
      <c r="N16" s="11"/>
      <c r="O16" s="11"/>
      <c r="P16" s="44"/>
      <c r="Q16" s="44"/>
      <c r="R16" s="44"/>
      <c r="S16" s="44"/>
      <c r="T16" s="12"/>
    </row>
    <row r="17" spans="12:20" ht="18.75" x14ac:dyDescent="0.3">
      <c r="L17" s="10"/>
      <c r="M17" s="11"/>
      <c r="N17" s="11"/>
      <c r="O17" s="11"/>
      <c r="P17" s="44"/>
      <c r="Q17" s="44"/>
      <c r="R17" s="44"/>
      <c r="S17" s="44"/>
      <c r="T17" s="12"/>
    </row>
    <row r="18" spans="12:20" ht="18.75" x14ac:dyDescent="0.3">
      <c r="L18" s="10"/>
      <c r="M18" s="11"/>
      <c r="N18" s="11"/>
      <c r="O18" s="11"/>
      <c r="P18" s="44"/>
      <c r="Q18" s="44"/>
      <c r="R18" s="44"/>
      <c r="S18" s="44"/>
      <c r="T18" s="12"/>
    </row>
    <row r="19" spans="12:20" ht="19.5" thickBot="1" x14ac:dyDescent="0.35">
      <c r="L19" s="10"/>
      <c r="M19" s="11"/>
      <c r="N19" s="11"/>
      <c r="O19" s="11"/>
      <c r="P19" s="14"/>
      <c r="Q19" s="14"/>
      <c r="R19" s="14"/>
      <c r="S19" s="14"/>
      <c r="T19" s="12"/>
    </row>
    <row r="20" spans="12:20" ht="19.5" thickBot="1" x14ac:dyDescent="0.35">
      <c r="L20" s="10"/>
      <c r="M20" s="11"/>
      <c r="N20" s="11"/>
      <c r="O20" s="13" t="s">
        <v>40</v>
      </c>
      <c r="P20" s="38">
        <v>3</v>
      </c>
      <c r="Q20" s="39"/>
      <c r="R20" s="39"/>
      <c r="S20" s="40"/>
      <c r="T20" s="12"/>
    </row>
    <row r="21" spans="12:20" ht="19.5" thickBot="1" x14ac:dyDescent="0.35">
      <c r="L21" s="10"/>
      <c r="M21" s="11"/>
      <c r="N21" s="11"/>
      <c r="O21" s="15"/>
      <c r="P21" s="11"/>
      <c r="Q21" s="11"/>
      <c r="R21" s="11"/>
      <c r="S21" s="11"/>
      <c r="T21" s="12"/>
    </row>
    <row r="22" spans="12:20" ht="19.5" thickBot="1" x14ac:dyDescent="0.35">
      <c r="L22" s="10"/>
      <c r="M22" s="11"/>
      <c r="N22" s="11"/>
      <c r="O22" s="13" t="s">
        <v>68</v>
      </c>
      <c r="P22" s="38">
        <v>0</v>
      </c>
      <c r="Q22" s="39"/>
      <c r="R22" s="39"/>
      <c r="S22" s="40"/>
      <c r="T22" s="12"/>
    </row>
    <row r="23" spans="12:20" ht="19.5" thickBot="1" x14ac:dyDescent="0.35">
      <c r="L23" s="10"/>
      <c r="M23" s="11"/>
      <c r="N23" s="11"/>
      <c r="O23" s="13"/>
      <c r="P23" s="11"/>
      <c r="Q23" s="11"/>
      <c r="R23" s="11"/>
      <c r="S23" s="11"/>
      <c r="T23" s="12"/>
    </row>
    <row r="24" spans="12:20" ht="19.5" thickBot="1" x14ac:dyDescent="0.35">
      <c r="L24" s="10"/>
      <c r="M24" s="11"/>
      <c r="N24" s="11"/>
      <c r="O24" s="13" t="s">
        <v>19</v>
      </c>
      <c r="P24" s="38">
        <v>100</v>
      </c>
      <c r="Q24" s="39"/>
      <c r="R24" s="39"/>
      <c r="S24" s="40"/>
      <c r="T24" s="12"/>
    </row>
    <row r="25" spans="12:20" ht="18.75" x14ac:dyDescent="0.3">
      <c r="L25" s="10"/>
      <c r="M25" s="11"/>
      <c r="N25" s="11"/>
      <c r="O25" s="13"/>
      <c r="P25" s="11"/>
      <c r="Q25" s="11"/>
      <c r="R25" s="11"/>
      <c r="S25" s="11"/>
      <c r="T25" s="12"/>
    </row>
    <row r="26" spans="12:20" x14ac:dyDescent="0.25">
      <c r="L26" s="16"/>
      <c r="T26" s="17"/>
    </row>
    <row r="27" spans="12:20" x14ac:dyDescent="0.25">
      <c r="L27" s="16"/>
      <c r="T27" s="17"/>
    </row>
    <row r="28" spans="12:20" x14ac:dyDescent="0.25">
      <c r="L28" s="16"/>
      <c r="T28" s="17"/>
    </row>
    <row r="29" spans="12:20" ht="15.75" thickBot="1" x14ac:dyDescent="0.3">
      <c r="L29" s="18"/>
      <c r="M29" s="19"/>
      <c r="N29" s="19"/>
      <c r="O29" s="19"/>
      <c r="P29" s="19"/>
      <c r="Q29" s="19"/>
      <c r="R29" s="19"/>
      <c r="S29" s="19"/>
      <c r="T29" s="20"/>
    </row>
  </sheetData>
  <sheetProtection selectLockedCells="1"/>
  <protectedRanges>
    <protectedRange algorithmName="SHA-512" hashValue="vz2jvxh6b0JlQdc7XjAH63UV41fMID9x1peANyRJWbaOnbYBbWju19nB+735agR8bYwIynA7hU+4IOHA9VLf2Q==" saltValue="r58FfEmZWfXa3rsrUoQrYw==" spinCount="100000" sqref="P7 P9 P20 P22 P24" name="Intervalo1"/>
  </protectedRanges>
  <mergeCells count="7">
    <mergeCell ref="P22:S22"/>
    <mergeCell ref="P24:S24"/>
    <mergeCell ref="L5:T5"/>
    <mergeCell ref="P11:S18"/>
    <mergeCell ref="P7:S7"/>
    <mergeCell ref="P9:S9"/>
    <mergeCell ref="P20:S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78EE03-6B7B-4B48-B90B-41A463DD93B6}">
          <x14:formula1>
            <xm:f>'Dados Complementares'!$H$2:$H$6</xm:f>
          </x14:formula1>
          <xm:sqref>P9:P10</xm:sqref>
        </x14:dataValidation>
        <x14:dataValidation type="list" allowBlank="1" showInputMessage="1" showErrorMessage="1" xr:uid="{3A2680BF-1E71-45FF-8904-E9BD9977F0B8}">
          <x14:formula1>
            <xm:f>Barra!$B$2:$B$1048576</xm:f>
          </x14:formula1>
          <xm:sqref>P20:S20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0B300-8DA6-429C-B4D5-4F4DAED312CD}">
  <sheetPr codeName="Planilha2">
    <tabColor theme="0"/>
  </sheetPr>
  <dimension ref="A1:I16"/>
  <sheetViews>
    <sheetView tabSelected="1" zoomScale="96" zoomScaleNormal="96" workbookViewId="0">
      <selection activeCell="F8" sqref="F8"/>
    </sheetView>
  </sheetViews>
  <sheetFormatPr defaultRowHeight="15" x14ac:dyDescent="0.25"/>
  <cols>
    <col min="1" max="1" width="11" style="21" bestFit="1" customWidth="1"/>
    <col min="2" max="2" width="12.85546875" style="21" bestFit="1" customWidth="1"/>
    <col min="3" max="3" width="16" style="21" bestFit="1" customWidth="1"/>
    <col min="4" max="16384" width="9.140625" style="4"/>
  </cols>
  <sheetData>
    <row r="1" spans="1:9" s="2" customFormat="1" x14ac:dyDescent="0.25">
      <c r="A1" s="27" t="s">
        <v>1</v>
      </c>
      <c r="B1" s="27" t="s">
        <v>0</v>
      </c>
      <c r="C1" s="27" t="s">
        <v>5</v>
      </c>
    </row>
    <row r="2" spans="1:9" x14ac:dyDescent="0.25">
      <c r="A2" s="21" t="s">
        <v>22</v>
      </c>
      <c r="B2" s="21">
        <v>1</v>
      </c>
      <c r="C2" s="21">
        <v>13.8</v>
      </c>
    </row>
    <row r="3" spans="1:9" x14ac:dyDescent="0.25">
      <c r="A3" s="21" t="s">
        <v>25</v>
      </c>
      <c r="B3" s="21">
        <v>2</v>
      </c>
      <c r="C3" s="21">
        <v>6.6</v>
      </c>
    </row>
    <row r="4" spans="1:9" x14ac:dyDescent="0.25">
      <c r="A4" s="21" t="s">
        <v>23</v>
      </c>
      <c r="B4" s="21">
        <v>3</v>
      </c>
      <c r="C4" s="21">
        <v>230</v>
      </c>
    </row>
    <row r="5" spans="1:9" x14ac:dyDescent="0.25">
      <c r="A5" s="21" t="s">
        <v>24</v>
      </c>
      <c r="B5" s="21">
        <v>4</v>
      </c>
      <c r="C5" s="21">
        <v>230</v>
      </c>
    </row>
    <row r="6" spans="1:9" x14ac:dyDescent="0.25">
      <c r="A6" s="21" t="s">
        <v>48</v>
      </c>
      <c r="B6" s="21">
        <v>5</v>
      </c>
      <c r="C6" s="21">
        <v>13.8</v>
      </c>
    </row>
    <row r="7" spans="1:9" x14ac:dyDescent="0.25">
      <c r="A7" s="21" t="s">
        <v>49</v>
      </c>
      <c r="B7" s="21">
        <v>6</v>
      </c>
      <c r="C7" s="21">
        <v>6.6</v>
      </c>
    </row>
    <row r="8" spans="1:9" x14ac:dyDescent="0.25">
      <c r="A8" s="21" t="s">
        <v>50</v>
      </c>
      <c r="B8" s="21">
        <v>7</v>
      </c>
      <c r="C8" s="21">
        <v>500</v>
      </c>
    </row>
    <row r="9" spans="1:9" x14ac:dyDescent="0.25">
      <c r="A9" s="21" t="s">
        <v>64</v>
      </c>
      <c r="B9" s="21">
        <v>8</v>
      </c>
      <c r="C9" s="21">
        <v>500</v>
      </c>
    </row>
    <row r="10" spans="1:9" x14ac:dyDescent="0.25">
      <c r="A10" s="21" t="s">
        <v>65</v>
      </c>
      <c r="B10" s="21">
        <v>9</v>
      </c>
      <c r="C10" s="21">
        <v>0.22</v>
      </c>
    </row>
    <row r="11" spans="1:9" x14ac:dyDescent="0.25">
      <c r="A11" s="21" t="s">
        <v>70</v>
      </c>
      <c r="B11" s="21">
        <v>10</v>
      </c>
      <c r="C11" s="21">
        <v>0.22</v>
      </c>
    </row>
    <row r="12" spans="1:9" x14ac:dyDescent="0.25">
      <c r="A12" s="21" t="s">
        <v>78</v>
      </c>
      <c r="B12" s="21">
        <v>11</v>
      </c>
      <c r="C12" s="21">
        <v>0.22</v>
      </c>
    </row>
    <row r="13" spans="1:9" x14ac:dyDescent="0.25">
      <c r="A13" s="21" t="s">
        <v>79</v>
      </c>
      <c r="B13" s="21">
        <v>12</v>
      </c>
      <c r="C13" s="21">
        <v>0.22</v>
      </c>
    </row>
    <row r="16" spans="1:9" x14ac:dyDescent="0.25">
      <c r="I16" s="9"/>
    </row>
  </sheetData>
  <sheetProtection formatCells="0" formatColumns="0" formatRows="0" insertColumns="0" insertRows="0" insertHyperlinks="0" deleteColumns="0" deleteRows="0" sort="0" autoFilter="0" pivotTables="0"/>
  <conditionalFormatting sqref="B1:B104857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568C-92CE-45E1-B1F0-F8B573EA2AF5}">
  <sheetPr codeName="Planilha3">
    <tabColor theme="0"/>
  </sheetPr>
  <dimension ref="A1:E8"/>
  <sheetViews>
    <sheetView zoomScale="96" zoomScaleNormal="96" workbookViewId="0">
      <selection activeCell="D6" sqref="D6"/>
    </sheetView>
  </sheetViews>
  <sheetFormatPr defaultRowHeight="15" x14ac:dyDescent="0.25"/>
  <cols>
    <col min="1" max="1" width="11" style="21" bestFit="1" customWidth="1"/>
    <col min="2" max="2" width="13.28515625" style="21" bestFit="1" customWidth="1"/>
    <col min="3" max="3" width="15" style="21" bestFit="1" customWidth="1"/>
    <col min="4" max="4" width="16" style="4" bestFit="1" customWidth="1"/>
    <col min="5" max="5" width="27.5703125" style="21" bestFit="1" customWidth="1"/>
    <col min="6" max="16384" width="9.140625" style="4"/>
  </cols>
  <sheetData>
    <row r="1" spans="1:5" s="2" customFormat="1" ht="15.75" thickBot="1" x14ac:dyDescent="0.3">
      <c r="A1" s="24" t="s">
        <v>1</v>
      </c>
      <c r="B1" s="23" t="s">
        <v>2</v>
      </c>
      <c r="C1" s="23" t="s">
        <v>3</v>
      </c>
      <c r="D1" s="23" t="s">
        <v>5</v>
      </c>
      <c r="E1" s="23" t="s">
        <v>4</v>
      </c>
    </row>
    <row r="2" spans="1:5" x14ac:dyDescent="0.25">
      <c r="A2" s="25" t="s">
        <v>131</v>
      </c>
      <c r="B2" s="26">
        <v>3</v>
      </c>
      <c r="C2" s="26">
        <v>4</v>
      </c>
      <c r="D2" s="22">
        <f>IF(B2="","",_xlfn.XLOOKUP(B2,Barra!B:B,Barra!C:C,"Inserir Barramento",0))</f>
        <v>230</v>
      </c>
      <c r="E2" s="26">
        <v>100</v>
      </c>
    </row>
    <row r="3" spans="1:5" x14ac:dyDescent="0.25">
      <c r="A3" s="21" t="s">
        <v>130</v>
      </c>
      <c r="B3" s="21">
        <v>7</v>
      </c>
      <c r="C3" s="21">
        <v>8</v>
      </c>
      <c r="D3" s="4">
        <f>IF(B3="","",_xlfn.XLOOKUP(B3,Barra!B:B,Barra!C:C,"Inserir Barramento",0))</f>
        <v>500</v>
      </c>
      <c r="E3" s="21">
        <v>100</v>
      </c>
    </row>
    <row r="4" spans="1:5" x14ac:dyDescent="0.25">
      <c r="A4" s="21" t="s">
        <v>82</v>
      </c>
      <c r="B4" s="21">
        <v>9</v>
      </c>
      <c r="C4" s="21">
        <v>10</v>
      </c>
      <c r="D4" s="4">
        <f>IF(B4="","",_xlfn.XLOOKUP(B4,Barra!B:B,Barra!C:C,"Inserir Barramento",0))</f>
        <v>0.22</v>
      </c>
      <c r="E4" s="21">
        <v>100</v>
      </c>
    </row>
    <row r="5" spans="1:5" x14ac:dyDescent="0.25">
      <c r="A5" s="21" t="s">
        <v>83</v>
      </c>
      <c r="B5" s="21">
        <v>10</v>
      </c>
      <c r="C5" s="21">
        <v>11</v>
      </c>
      <c r="D5" s="4">
        <f>IF(B5="","",_xlfn.XLOOKUP(B5,Barra!B:B,Barra!C:C,"Inserir Barramento",0))</f>
        <v>0.22</v>
      </c>
      <c r="E5" s="21">
        <v>100</v>
      </c>
    </row>
    <row r="6" spans="1:5" x14ac:dyDescent="0.25">
      <c r="A6" s="21" t="s">
        <v>84</v>
      </c>
      <c r="B6" s="21">
        <v>11</v>
      </c>
      <c r="C6" s="21">
        <v>12</v>
      </c>
      <c r="D6" s="4">
        <f>IF(B6="","",_xlfn.XLOOKUP(B6,Barra!B:B,Barra!C:C,"Inserir Barramento",0))</f>
        <v>0.22</v>
      </c>
      <c r="E6" s="21">
        <v>100</v>
      </c>
    </row>
    <row r="7" spans="1:5" x14ac:dyDescent="0.25">
      <c r="A7" s="21" t="s">
        <v>132</v>
      </c>
      <c r="B7" s="21">
        <v>11</v>
      </c>
      <c r="C7" s="21">
        <v>12</v>
      </c>
      <c r="D7" s="4">
        <v>0.22</v>
      </c>
      <c r="E7" s="21">
        <v>100</v>
      </c>
    </row>
    <row r="8" spans="1:5" x14ac:dyDescent="0.25">
      <c r="A8" s="21" t="s">
        <v>133</v>
      </c>
      <c r="B8" s="21">
        <v>11</v>
      </c>
      <c r="C8" s="21">
        <v>12</v>
      </c>
      <c r="D8" s="4">
        <v>0.22</v>
      </c>
      <c r="E8" s="21">
        <v>100</v>
      </c>
    </row>
  </sheetData>
  <sheetProtection selectLockedCells="1"/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281262-714D-42CD-9B54-618A1EB30DC0}">
          <x14:formula1>
            <xm:f>Barra!$B$2:$B$1048576</xm:f>
          </x14:formula1>
          <xm:sqref>B2:C1048576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6B8C0-382B-4905-BBF2-8EBDE965B0D4}">
  <sheetPr codeName="Planilha6">
    <tabColor theme="0"/>
  </sheetPr>
  <dimension ref="A1:G10"/>
  <sheetViews>
    <sheetView zoomScale="85" zoomScaleNormal="85" workbookViewId="0">
      <selection activeCell="A10" sqref="A10"/>
    </sheetView>
  </sheetViews>
  <sheetFormatPr defaultRowHeight="15" x14ac:dyDescent="0.25"/>
  <cols>
    <col min="1" max="1" width="11" style="21" bestFit="1" customWidth="1"/>
    <col min="2" max="2" width="25.7109375" style="21" bestFit="1" customWidth="1"/>
    <col min="3" max="3" width="13.28515625" style="21" bestFit="1" customWidth="1"/>
    <col min="4" max="4" width="24.28515625" style="21" bestFit="1" customWidth="1"/>
    <col min="5" max="5" width="15" style="21" bestFit="1" customWidth="1"/>
    <col min="6" max="6" width="27" style="21" customWidth="1"/>
    <col min="7" max="7" width="20.28515625" style="21" customWidth="1"/>
    <col min="8" max="16384" width="9.140625" style="4"/>
  </cols>
  <sheetData>
    <row r="1" spans="1:7" s="2" customFormat="1" ht="15.75" thickBot="1" x14ac:dyDescent="0.3">
      <c r="A1" s="24" t="s">
        <v>1</v>
      </c>
      <c r="B1" s="23" t="s">
        <v>4</v>
      </c>
      <c r="C1" s="23" t="s">
        <v>2</v>
      </c>
      <c r="D1" s="23" t="s">
        <v>17</v>
      </c>
      <c r="E1" s="23" t="s">
        <v>3</v>
      </c>
      <c r="F1" s="23" t="s">
        <v>18</v>
      </c>
      <c r="G1" s="23" t="s">
        <v>6</v>
      </c>
    </row>
    <row r="2" spans="1:7" x14ac:dyDescent="0.25">
      <c r="A2" s="29" t="s">
        <v>27</v>
      </c>
      <c r="B2" s="22">
        <v>100</v>
      </c>
      <c r="C2" s="22">
        <v>1</v>
      </c>
      <c r="D2" s="28">
        <v>13.8</v>
      </c>
      <c r="E2" s="22">
        <v>3</v>
      </c>
      <c r="F2" s="28">
        <v>230</v>
      </c>
      <c r="G2" s="22" t="s">
        <v>12</v>
      </c>
    </row>
    <row r="3" spans="1:7" x14ac:dyDescent="0.25">
      <c r="A3" s="30" t="s">
        <v>28</v>
      </c>
      <c r="B3" s="30">
        <v>100</v>
      </c>
      <c r="C3" s="30">
        <v>2</v>
      </c>
      <c r="D3" s="30">
        <v>6.6</v>
      </c>
      <c r="E3" s="30">
        <v>4</v>
      </c>
      <c r="F3" s="32">
        <v>230</v>
      </c>
      <c r="G3" s="30" t="s">
        <v>11</v>
      </c>
    </row>
    <row r="4" spans="1:7" x14ac:dyDescent="0.25">
      <c r="A4" s="21" t="s">
        <v>51</v>
      </c>
      <c r="B4" s="21">
        <v>100</v>
      </c>
      <c r="C4" s="21">
        <v>3</v>
      </c>
      <c r="D4" s="21">
        <v>230</v>
      </c>
      <c r="E4" s="21">
        <v>7</v>
      </c>
      <c r="F4" s="31">
        <v>500</v>
      </c>
      <c r="G4" s="21" t="s">
        <v>11</v>
      </c>
    </row>
    <row r="5" spans="1:7" x14ac:dyDescent="0.25">
      <c r="A5" s="21" t="s">
        <v>76</v>
      </c>
      <c r="B5" s="21">
        <v>100</v>
      </c>
      <c r="C5" s="21">
        <v>5</v>
      </c>
      <c r="D5" s="21">
        <v>13.8</v>
      </c>
      <c r="E5" s="21">
        <v>7</v>
      </c>
      <c r="F5" s="31">
        <v>500</v>
      </c>
      <c r="G5" s="21" t="s">
        <v>11</v>
      </c>
    </row>
    <row r="6" spans="1:7" x14ac:dyDescent="0.25">
      <c r="A6" s="21" t="s">
        <v>77</v>
      </c>
      <c r="B6" s="21">
        <v>100</v>
      </c>
      <c r="C6" s="21">
        <v>6</v>
      </c>
      <c r="D6" s="21">
        <v>6.6</v>
      </c>
      <c r="E6" s="21">
        <v>8</v>
      </c>
      <c r="F6" s="31">
        <v>500</v>
      </c>
      <c r="G6" s="21" t="s">
        <v>11</v>
      </c>
    </row>
    <row r="7" spans="1:7" x14ac:dyDescent="0.25">
      <c r="A7" s="21" t="s">
        <v>80</v>
      </c>
      <c r="B7" s="21">
        <v>100</v>
      </c>
      <c r="C7" s="21">
        <v>1</v>
      </c>
      <c r="D7" s="21">
        <v>13.8</v>
      </c>
      <c r="E7" s="21">
        <v>9</v>
      </c>
      <c r="F7" s="31">
        <v>0.22</v>
      </c>
      <c r="G7" s="21" t="s">
        <v>11</v>
      </c>
    </row>
    <row r="8" spans="1:7" x14ac:dyDescent="0.25">
      <c r="A8" s="21" t="s">
        <v>81</v>
      </c>
      <c r="B8" s="21">
        <v>100</v>
      </c>
      <c r="C8" s="21">
        <v>2</v>
      </c>
      <c r="D8" s="21">
        <v>6.6</v>
      </c>
      <c r="E8" s="21">
        <v>12</v>
      </c>
      <c r="F8" s="31">
        <v>0.22</v>
      </c>
      <c r="G8" s="21" t="s">
        <v>11</v>
      </c>
    </row>
    <row r="9" spans="1:7" x14ac:dyDescent="0.25">
      <c r="A9" s="21" t="s">
        <v>71</v>
      </c>
      <c r="B9" s="21">
        <v>100</v>
      </c>
      <c r="C9" s="21">
        <v>2</v>
      </c>
      <c r="D9" s="21">
        <v>6.6</v>
      </c>
      <c r="E9" s="21">
        <v>4</v>
      </c>
      <c r="F9" s="31">
        <v>230</v>
      </c>
      <c r="G9" s="21" t="s">
        <v>11</v>
      </c>
    </row>
    <row r="10" spans="1:7" x14ac:dyDescent="0.25">
      <c r="A10" s="21" t="s">
        <v>134</v>
      </c>
      <c r="B10" s="21">
        <v>100</v>
      </c>
      <c r="C10" s="21">
        <v>4</v>
      </c>
      <c r="D10" s="21">
        <v>230</v>
      </c>
      <c r="E10" s="21">
        <v>11</v>
      </c>
      <c r="F10" s="31">
        <v>0.22</v>
      </c>
      <c r="G10" s="21" t="s">
        <v>15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D191EF-B516-4308-8BE9-0ECBFE6D91B1}">
          <x14:formula1>
            <xm:f>'Dados Complementares'!$A$2:$A$1048576</xm:f>
          </x14:formula1>
          <xm:sqref>G2:G1048576</xm:sqref>
        </x14:dataValidation>
        <x14:dataValidation type="list" allowBlank="1" showInputMessage="1" showErrorMessage="1" xr:uid="{F6411377-60C4-4C74-8469-EBA3003274D2}">
          <x14:formula1>
            <xm:f>Barra!$B$2:$B$1048576</xm:f>
          </x14:formula1>
          <xm:sqref>C2:C1048576 E2:E1048576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0865-EC8F-493E-A3CF-F30CC93F6080}">
  <sheetPr codeName="Planilha4">
    <tabColor theme="0"/>
  </sheetPr>
  <dimension ref="A1:F6"/>
  <sheetViews>
    <sheetView zoomScale="85" zoomScaleNormal="85" workbookViewId="0">
      <selection activeCell="F6" sqref="F6"/>
    </sheetView>
  </sheetViews>
  <sheetFormatPr defaultRowHeight="15" x14ac:dyDescent="0.25"/>
  <cols>
    <col min="1" max="1" width="11" style="21" bestFit="1" customWidth="1"/>
    <col min="2" max="3" width="20.5703125" style="21" bestFit="1" customWidth="1"/>
    <col min="4" max="4" width="27.5703125" style="21" bestFit="1" customWidth="1"/>
    <col min="5" max="5" width="16" style="21" bestFit="1" customWidth="1"/>
    <col min="6" max="6" width="20.7109375" style="21" bestFit="1" customWidth="1"/>
    <col min="7" max="16384" width="9.140625" style="4"/>
  </cols>
  <sheetData>
    <row r="1" spans="1:6" s="2" customFormat="1" x14ac:dyDescent="0.25">
      <c r="A1" s="3" t="s">
        <v>1</v>
      </c>
      <c r="B1" s="3" t="s">
        <v>58</v>
      </c>
      <c r="C1" s="3" t="s">
        <v>7</v>
      </c>
      <c r="D1" s="3" t="s">
        <v>4</v>
      </c>
      <c r="E1" s="3" t="s">
        <v>5</v>
      </c>
      <c r="F1" s="3" t="s">
        <v>6</v>
      </c>
    </row>
    <row r="2" spans="1:6" x14ac:dyDescent="0.25">
      <c r="A2" s="21" t="s">
        <v>26</v>
      </c>
      <c r="B2" s="21" t="s">
        <v>56</v>
      </c>
      <c r="C2" s="21">
        <v>1</v>
      </c>
      <c r="D2" s="21">
        <v>100</v>
      </c>
      <c r="E2" s="21">
        <v>13.8</v>
      </c>
      <c r="F2" s="21" t="s">
        <v>8</v>
      </c>
    </row>
    <row r="3" spans="1:6" x14ac:dyDescent="0.25">
      <c r="A3" s="21" t="s">
        <v>47</v>
      </c>
      <c r="B3" s="21" t="s">
        <v>56</v>
      </c>
      <c r="C3" s="21">
        <v>2</v>
      </c>
      <c r="D3" s="21">
        <v>100</v>
      </c>
      <c r="E3" s="21">
        <v>6.6</v>
      </c>
      <c r="F3" s="21" t="s">
        <v>8</v>
      </c>
    </row>
    <row r="4" spans="1:6" x14ac:dyDescent="0.25">
      <c r="A4" s="21" t="s">
        <v>66</v>
      </c>
      <c r="B4" s="21" t="s">
        <v>56</v>
      </c>
      <c r="C4" s="21">
        <v>5</v>
      </c>
      <c r="D4" s="21">
        <v>100</v>
      </c>
      <c r="E4" s="21">
        <v>13.8</v>
      </c>
      <c r="F4" s="21" t="s">
        <v>8</v>
      </c>
    </row>
    <row r="5" spans="1:6" x14ac:dyDescent="0.25">
      <c r="A5" s="21" t="s">
        <v>102</v>
      </c>
      <c r="B5" s="21" t="s">
        <v>56</v>
      </c>
      <c r="C5" s="21">
        <v>6</v>
      </c>
      <c r="D5" s="21">
        <v>100</v>
      </c>
      <c r="E5" s="21">
        <v>6.6</v>
      </c>
      <c r="F5" s="21" t="s">
        <v>8</v>
      </c>
    </row>
    <row r="6" spans="1:6" x14ac:dyDescent="0.25">
      <c r="A6" s="21" t="s">
        <v>103</v>
      </c>
      <c r="B6" s="21" t="s">
        <v>57</v>
      </c>
      <c r="C6" s="21">
        <v>4</v>
      </c>
      <c r="D6" s="21">
        <v>100</v>
      </c>
      <c r="E6" s="21">
        <v>230</v>
      </c>
      <c r="F6" s="21" t="s">
        <v>9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054BB0-12D3-400B-AAB8-DBFEC359C2A4}">
          <x14:formula1>
            <xm:f>'Dados Complementares'!$B$2:$B$4</xm:f>
          </x14:formula1>
          <xm:sqref>F2:F1048576</xm:sqref>
        </x14:dataValidation>
        <x14:dataValidation type="list" showInputMessage="1" showErrorMessage="1" xr:uid="{6B863E0A-DB01-4FC1-A538-A24537FEAF5A}">
          <x14:formula1>
            <xm:f>'Dados Complementares'!$J$2:$J$1048576</xm:f>
          </x14:formula1>
          <xm:sqref>B2:B1048576</xm:sqref>
        </x14:dataValidation>
        <x14:dataValidation type="list" allowBlank="1" showInputMessage="1" showErrorMessage="1" xr:uid="{7FD33D32-3B79-4982-AD53-443F7A200964}">
          <x14:formula1>
            <xm:f>Barra!$B$2:$B$1048576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765D7-D7A7-490D-ABCD-A5B0E7A8A4DF}">
  <sheetPr codeName="Planilha5">
    <tabColor theme="0"/>
  </sheetPr>
  <dimension ref="A1:F19"/>
  <sheetViews>
    <sheetView zoomScale="70" zoomScaleNormal="70" workbookViewId="0">
      <selection activeCell="E7" sqref="E7"/>
    </sheetView>
  </sheetViews>
  <sheetFormatPr defaultRowHeight="15" x14ac:dyDescent="0.25"/>
  <cols>
    <col min="1" max="1" width="11" style="21" bestFit="1" customWidth="1"/>
    <col min="2" max="2" width="20.5703125" style="21" bestFit="1" customWidth="1"/>
    <col min="3" max="3" width="20.5703125" style="21" customWidth="1"/>
    <col min="4" max="4" width="27.5703125" style="21" bestFit="1" customWidth="1"/>
    <col min="5" max="5" width="25" style="21" bestFit="1" customWidth="1"/>
    <col min="6" max="6" width="20.7109375" style="21" bestFit="1" customWidth="1"/>
    <col min="7" max="16384" width="9.140625" style="4"/>
  </cols>
  <sheetData>
    <row r="1" spans="1:6" s="2" customFormat="1" ht="14.25" customHeight="1" x14ac:dyDescent="0.25">
      <c r="A1" s="27" t="s">
        <v>1</v>
      </c>
      <c r="B1" s="27" t="s">
        <v>7</v>
      </c>
      <c r="C1" s="27" t="s">
        <v>5</v>
      </c>
      <c r="D1" s="27" t="s">
        <v>53</v>
      </c>
      <c r="E1" s="27" t="s">
        <v>54</v>
      </c>
      <c r="F1" s="27" t="s">
        <v>6</v>
      </c>
    </row>
    <row r="2" spans="1:6" x14ac:dyDescent="0.25">
      <c r="A2" s="21" t="s">
        <v>75</v>
      </c>
      <c r="B2" s="21">
        <v>4</v>
      </c>
      <c r="C2" s="21">
        <v>230</v>
      </c>
      <c r="D2" s="21">
        <v>125</v>
      </c>
      <c r="E2" s="21">
        <v>-50</v>
      </c>
      <c r="F2" s="21" t="s">
        <v>8</v>
      </c>
    </row>
    <row r="3" spans="1:6" x14ac:dyDescent="0.25">
      <c r="A3" s="33" t="s">
        <v>74</v>
      </c>
      <c r="B3" s="33">
        <v>3</v>
      </c>
      <c r="C3" s="21">
        <v>230</v>
      </c>
      <c r="D3" s="33">
        <v>90</v>
      </c>
      <c r="E3" s="33">
        <v>-30</v>
      </c>
      <c r="F3" s="33" t="s">
        <v>8</v>
      </c>
    </row>
    <row r="4" spans="1:6" x14ac:dyDescent="0.25">
      <c r="A4" s="33" t="s">
        <v>73</v>
      </c>
      <c r="B4" s="33">
        <v>2</v>
      </c>
      <c r="C4" s="21">
        <v>6.6</v>
      </c>
      <c r="D4" s="33">
        <v>100</v>
      </c>
      <c r="E4" s="33">
        <v>-35</v>
      </c>
      <c r="F4" s="33" t="s">
        <v>8</v>
      </c>
    </row>
    <row r="5" spans="1:6" x14ac:dyDescent="0.25">
      <c r="A5" s="33" t="s">
        <v>72</v>
      </c>
      <c r="B5" s="33">
        <v>1</v>
      </c>
      <c r="C5" s="21">
        <v>13.8</v>
      </c>
      <c r="D5" s="33">
        <v>100</v>
      </c>
      <c r="E5" s="33">
        <v>-35</v>
      </c>
      <c r="F5" s="33" t="s">
        <v>8</v>
      </c>
    </row>
    <row r="6" spans="1:6" x14ac:dyDescent="0.25">
      <c r="A6" s="33" t="s">
        <v>63</v>
      </c>
      <c r="B6" s="33">
        <v>5</v>
      </c>
      <c r="C6" s="21">
        <v>13.8</v>
      </c>
      <c r="D6" s="33">
        <v>100</v>
      </c>
      <c r="E6" s="33">
        <v>-35</v>
      </c>
      <c r="F6" s="33" t="s">
        <v>8</v>
      </c>
    </row>
    <row r="7" spans="1:6" x14ac:dyDescent="0.25">
      <c r="A7" s="33" t="s">
        <v>67</v>
      </c>
      <c r="B7" s="33">
        <v>6</v>
      </c>
      <c r="C7" s="21">
        <v>6.6</v>
      </c>
      <c r="D7" s="33">
        <v>100</v>
      </c>
      <c r="E7" s="33">
        <v>-35</v>
      </c>
      <c r="F7" s="33" t="s">
        <v>8</v>
      </c>
    </row>
    <row r="8" spans="1:6" x14ac:dyDescent="0.25">
      <c r="A8" s="33" t="s">
        <v>85</v>
      </c>
      <c r="B8" s="33">
        <v>9</v>
      </c>
      <c r="C8" s="21">
        <v>0.22</v>
      </c>
      <c r="D8" s="33">
        <v>100</v>
      </c>
      <c r="E8" s="33">
        <v>-35</v>
      </c>
      <c r="F8" s="33" t="s">
        <v>8</v>
      </c>
    </row>
    <row r="9" spans="1:6" x14ac:dyDescent="0.25">
      <c r="A9" s="33" t="s">
        <v>86</v>
      </c>
      <c r="B9" s="33">
        <v>9</v>
      </c>
      <c r="C9" s="21">
        <v>0.22</v>
      </c>
      <c r="D9" s="33">
        <v>100</v>
      </c>
      <c r="E9" s="33">
        <v>-35</v>
      </c>
      <c r="F9" s="33" t="s">
        <v>8</v>
      </c>
    </row>
    <row r="10" spans="1:6" x14ac:dyDescent="0.25">
      <c r="A10" s="33" t="s">
        <v>87</v>
      </c>
      <c r="B10" s="33">
        <v>9</v>
      </c>
      <c r="C10" s="21">
        <v>0.22</v>
      </c>
      <c r="D10" s="33">
        <v>100</v>
      </c>
      <c r="E10" s="33">
        <v>-35</v>
      </c>
      <c r="F10" s="33" t="s">
        <v>8</v>
      </c>
    </row>
    <row r="11" spans="1:6" x14ac:dyDescent="0.25">
      <c r="A11" s="33" t="s">
        <v>88</v>
      </c>
      <c r="B11" s="33">
        <v>10</v>
      </c>
      <c r="C11" s="21">
        <v>0.22</v>
      </c>
      <c r="D11" s="33">
        <v>100</v>
      </c>
      <c r="E11" s="33">
        <v>-35</v>
      </c>
      <c r="F11" s="33" t="s">
        <v>8</v>
      </c>
    </row>
    <row r="12" spans="1:6" x14ac:dyDescent="0.25">
      <c r="A12" s="33" t="s">
        <v>89</v>
      </c>
      <c r="B12" s="33">
        <v>10</v>
      </c>
      <c r="C12" s="21">
        <v>0.22</v>
      </c>
      <c r="D12" s="33">
        <v>100</v>
      </c>
      <c r="E12" s="33">
        <v>-35</v>
      </c>
      <c r="F12" s="33" t="s">
        <v>8</v>
      </c>
    </row>
    <row r="13" spans="1:6" x14ac:dyDescent="0.25">
      <c r="A13" s="33" t="s">
        <v>90</v>
      </c>
      <c r="B13" s="33">
        <v>10</v>
      </c>
      <c r="C13" s="21">
        <v>0.22</v>
      </c>
      <c r="D13" s="33">
        <v>100</v>
      </c>
      <c r="E13" s="33">
        <v>-35</v>
      </c>
      <c r="F13" s="33" t="s">
        <v>8</v>
      </c>
    </row>
    <row r="14" spans="1:6" x14ac:dyDescent="0.25">
      <c r="A14" s="33" t="s">
        <v>91</v>
      </c>
      <c r="B14" s="33">
        <v>11</v>
      </c>
      <c r="C14" s="21">
        <v>0.22</v>
      </c>
      <c r="D14" s="33">
        <v>100</v>
      </c>
      <c r="E14" s="33">
        <v>-35</v>
      </c>
      <c r="F14" s="33" t="s">
        <v>8</v>
      </c>
    </row>
    <row r="15" spans="1:6" x14ac:dyDescent="0.25">
      <c r="A15" s="33" t="s">
        <v>92</v>
      </c>
      <c r="B15" s="33">
        <v>11</v>
      </c>
      <c r="C15" s="21">
        <v>0.22</v>
      </c>
      <c r="D15" s="33">
        <v>100</v>
      </c>
      <c r="E15" s="33">
        <v>-35</v>
      </c>
      <c r="F15" s="33" t="s">
        <v>8</v>
      </c>
    </row>
    <row r="16" spans="1:6" x14ac:dyDescent="0.25">
      <c r="A16" s="33" t="s">
        <v>93</v>
      </c>
      <c r="B16" s="33">
        <v>11</v>
      </c>
      <c r="C16" s="21">
        <v>0.22</v>
      </c>
      <c r="D16" s="33">
        <v>100</v>
      </c>
      <c r="E16" s="33">
        <v>-35</v>
      </c>
      <c r="F16" s="33" t="s">
        <v>8</v>
      </c>
    </row>
    <row r="17" spans="1:6" x14ac:dyDescent="0.25">
      <c r="A17" s="33" t="s">
        <v>94</v>
      </c>
      <c r="B17" s="33">
        <v>12</v>
      </c>
      <c r="C17" s="21">
        <v>0.22</v>
      </c>
      <c r="D17" s="33">
        <v>100</v>
      </c>
      <c r="E17" s="33">
        <v>-35</v>
      </c>
      <c r="F17" s="33" t="s">
        <v>8</v>
      </c>
    </row>
    <row r="18" spans="1:6" x14ac:dyDescent="0.25">
      <c r="A18" s="33" t="s">
        <v>95</v>
      </c>
      <c r="B18" s="33">
        <v>12</v>
      </c>
      <c r="C18" s="21">
        <v>0.22</v>
      </c>
      <c r="D18" s="33">
        <v>100</v>
      </c>
      <c r="E18" s="33">
        <v>-35</v>
      </c>
      <c r="F18" s="33" t="s">
        <v>8</v>
      </c>
    </row>
    <row r="19" spans="1:6" x14ac:dyDescent="0.25">
      <c r="A19" s="33" t="s">
        <v>96</v>
      </c>
      <c r="B19" s="33">
        <v>12</v>
      </c>
      <c r="C19" s="21">
        <v>0.22</v>
      </c>
      <c r="D19" s="33">
        <v>100</v>
      </c>
      <c r="E19" s="33">
        <v>-35</v>
      </c>
      <c r="F19" s="33" t="s">
        <v>8</v>
      </c>
    </row>
  </sheetData>
  <sheetProtection insertRows="0" select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BCDB47-3ECF-4C0B-BA35-835C74BEFBDB}">
          <x14:formula1>
            <xm:f>'Dados Complementares'!$B:$B</xm:f>
          </x14:formula1>
          <xm:sqref>F2:F1048576</xm:sqref>
        </x14:dataValidation>
        <x14:dataValidation type="list" allowBlank="1" showInputMessage="1" showErrorMessage="1" xr:uid="{BE934D6B-9A01-48B5-9BF6-6246D0F29139}">
          <x14:formula1>
            <xm:f>Barra!$B$2:$B$1048576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C9152-E01D-4BA2-8F18-E5F764330256}">
  <sheetPr codeName="Planilha14">
    <tabColor theme="0"/>
  </sheetPr>
  <dimension ref="A1:Q3"/>
  <sheetViews>
    <sheetView zoomScale="70" zoomScaleNormal="70" workbookViewId="0">
      <selection activeCell="A4" sqref="A4"/>
    </sheetView>
  </sheetViews>
  <sheetFormatPr defaultRowHeight="15" x14ac:dyDescent="0.25"/>
  <cols>
    <col min="1" max="1" width="11" style="21" bestFit="1" customWidth="1"/>
    <col min="2" max="2" width="25.7109375" style="21" bestFit="1" customWidth="1"/>
    <col min="3" max="3" width="13.28515625" style="21" bestFit="1" customWidth="1"/>
    <col min="4" max="4" width="24.28515625" style="21" bestFit="1" customWidth="1"/>
    <col min="5" max="5" width="15" style="21" bestFit="1" customWidth="1"/>
    <col min="6" max="8" width="27" style="21" customWidth="1"/>
    <col min="9" max="10" width="11.42578125" style="21" hidden="1" customWidth="1"/>
    <col min="11" max="11" width="13" style="21" hidden="1" customWidth="1"/>
    <col min="12" max="12" width="13.140625" style="21" hidden="1" customWidth="1"/>
    <col min="13" max="13" width="20.28515625" style="21" customWidth="1"/>
    <col min="14" max="15" width="16.5703125" style="4" hidden="1" customWidth="1"/>
    <col min="16" max="16" width="15.7109375" style="4" hidden="1" customWidth="1"/>
    <col min="17" max="17" width="16.5703125" style="4" hidden="1" customWidth="1"/>
    <col min="18" max="16384" width="9.140625" style="4"/>
  </cols>
  <sheetData>
    <row r="1" spans="1:17" s="2" customFormat="1" ht="15.75" thickBot="1" x14ac:dyDescent="0.3">
      <c r="A1" s="24" t="s">
        <v>1</v>
      </c>
      <c r="B1" s="23" t="s">
        <v>4</v>
      </c>
      <c r="C1" s="23" t="s">
        <v>59</v>
      </c>
      <c r="D1" s="23" t="s">
        <v>17</v>
      </c>
      <c r="E1" s="23" t="s">
        <v>60</v>
      </c>
      <c r="F1" s="23" t="s">
        <v>18</v>
      </c>
      <c r="G1" s="23" t="s">
        <v>61</v>
      </c>
      <c r="H1" s="23" t="s">
        <v>62</v>
      </c>
      <c r="I1" s="23" t="s">
        <v>20</v>
      </c>
      <c r="J1" s="23" t="s">
        <v>21</v>
      </c>
      <c r="K1" s="23" t="s">
        <v>44</v>
      </c>
      <c r="L1" s="23" t="s">
        <v>45</v>
      </c>
      <c r="M1" s="23" t="s">
        <v>6</v>
      </c>
      <c r="N1" s="23" t="s">
        <v>29</v>
      </c>
      <c r="O1" s="23" t="s">
        <v>30</v>
      </c>
      <c r="P1" s="23" t="s">
        <v>46</v>
      </c>
      <c r="Q1" s="23" t="s">
        <v>52</v>
      </c>
    </row>
    <row r="2" spans="1:17" x14ac:dyDescent="0.25">
      <c r="A2" s="21" t="s">
        <v>98</v>
      </c>
      <c r="B2" s="21">
        <v>100</v>
      </c>
      <c r="C2" s="21">
        <v>10</v>
      </c>
      <c r="D2" s="21">
        <v>0.22</v>
      </c>
      <c r="E2" s="21">
        <v>1</v>
      </c>
      <c r="F2" s="21">
        <v>13.8</v>
      </c>
      <c r="G2" s="37">
        <v>4</v>
      </c>
      <c r="H2" s="34">
        <v>230</v>
      </c>
      <c r="I2" s="22">
        <v>10</v>
      </c>
      <c r="J2" s="22">
        <v>10</v>
      </c>
      <c r="K2" s="22">
        <v>10</v>
      </c>
      <c r="L2" s="22">
        <v>10</v>
      </c>
      <c r="M2" s="21" t="s">
        <v>101</v>
      </c>
      <c r="N2" s="4">
        <v>10</v>
      </c>
      <c r="O2" s="4">
        <v>10</v>
      </c>
      <c r="P2" s="4">
        <v>10</v>
      </c>
      <c r="Q2" s="4">
        <v>10</v>
      </c>
    </row>
    <row r="3" spans="1:17" x14ac:dyDescent="0.25">
      <c r="A3" s="21" t="s">
        <v>97</v>
      </c>
      <c r="B3" s="21">
        <v>100</v>
      </c>
      <c r="C3" s="21">
        <v>7</v>
      </c>
      <c r="D3" s="21">
        <v>500</v>
      </c>
      <c r="E3" s="21">
        <v>3</v>
      </c>
      <c r="F3" s="21">
        <v>230</v>
      </c>
      <c r="G3" s="37">
        <v>1</v>
      </c>
      <c r="H3" s="34">
        <v>13.8</v>
      </c>
      <c r="M3" s="21" t="s">
        <v>125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A6B5D9-6CFC-4E0A-BFDE-F37FB4E0FFF7}">
          <x14:formula1>
            <xm:f>'Dados Complementares'!$D$2:$D$1048576</xm:f>
          </x14:formula1>
          <xm:sqref>M2:M1048576</xm:sqref>
        </x14:dataValidation>
        <x14:dataValidation type="list" allowBlank="1" showInputMessage="1" showErrorMessage="1" xr:uid="{8BE3DCB4-23C1-47FD-8977-8E37CF5FA40F}">
          <x14:formula1>
            <xm:f>Barra!$B$2:$B$1048576</xm:f>
          </x14:formula1>
          <xm:sqref>C2:C1048576 G2:G1048576 E2:E1048576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474C8-B0BC-46AC-BCE2-C1BCCBB85C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Dados Complementares</vt:lpstr>
      <vt:lpstr>Configuração</vt:lpstr>
      <vt:lpstr>Barra</vt:lpstr>
      <vt:lpstr>Linha</vt:lpstr>
      <vt:lpstr>Transformador</vt:lpstr>
      <vt:lpstr>Maquina</vt:lpstr>
      <vt:lpstr>Carga</vt:lpstr>
      <vt:lpstr>Transformador 3 Enrolamentos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cp:lastPrinted>2025-06-13T14:43:04Z</cp:lastPrinted>
  <dcterms:created xsi:type="dcterms:W3CDTF">2025-04-14T12:09:01Z</dcterms:created>
  <dcterms:modified xsi:type="dcterms:W3CDTF">2025-06-29T20:31:19Z</dcterms:modified>
</cp:coreProperties>
</file>