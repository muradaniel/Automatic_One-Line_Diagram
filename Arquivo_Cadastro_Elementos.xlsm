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.xml" ContentType="application/vnd.ms-excel.controlproperties+xml"/>
  <Override PartName="/xl/drawings/drawing1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wnloads\"/>
    </mc:Choice>
  </mc:AlternateContent>
  <xr:revisionPtr revIDLastSave="0" documentId="13_ncr:1_{E4FC3C51-4009-4B87-903F-5A1240F7ABF5}" xr6:coauthVersionLast="47" xr6:coauthVersionMax="47" xr10:uidLastSave="{00000000-0000-0000-0000-000000000000}"/>
  <bookViews>
    <workbookView xWindow="-120" yWindow="-120" windowWidth="29040" windowHeight="15720" tabRatio="596" firstSheet="5" activeTab="7" xr2:uid="{31BFEAFF-49B5-486E-A0F2-7E685D2626CB}"/>
  </bookViews>
  <sheets>
    <sheet name="Dados Complementares" sheetId="5" r:id="rId1"/>
    <sheet name="Telas" sheetId="21" state="hidden" r:id="rId2"/>
    <sheet name="Rascunho Gráfico (2)" sheetId="23" state="hidden" r:id="rId3"/>
    <sheet name="Configuração" sheetId="24" r:id="rId4"/>
    <sheet name="Barra" sheetId="1" r:id="rId5"/>
    <sheet name="Linha" sheetId="2" r:id="rId6"/>
    <sheet name="Transformador" sheetId="7" r:id="rId7"/>
    <sheet name="Maquina" sheetId="3" r:id="rId8"/>
    <sheet name="Carga" sheetId="6" r:id="rId9"/>
    <sheet name="Y_Barra_1_2" sheetId="30" r:id="rId10"/>
    <sheet name="Z_Barra_1_2" sheetId="31" r:id="rId11"/>
    <sheet name="Y_Barra_0" sheetId="32" r:id="rId12"/>
    <sheet name="Z_Barra_0" sheetId="33" r:id="rId13"/>
    <sheet name="Relatório" sheetId="34" r:id="rId14"/>
    <sheet name="Diagrama Elétrico" sheetId="17" state="hidden" r:id="rId15"/>
    <sheet name="Transformador 3 Enrolamentos" sheetId="35" r:id="rId16"/>
    <sheet name="Planilha1" sheetId="36" r:id="rId17"/>
  </sheets>
  <definedNames>
    <definedName name="_xleta.CELL" hidden="1" xlm="1">#NAME?</definedName>
    <definedName name="_xleta.NOT" hidden="1" xlm="1">#NAME?</definedName>
    <definedName name="_xlnm.Print_Area" localSheetId="13">Relatório!$G$4:$O$45</definedName>
    <definedName name="Potencia_Base">'Dados Complementares'!$C$2</definedName>
    <definedName name="T">Barra!$A$1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3" l="1"/>
  <c r="M10" i="3"/>
  <c r="N10" i="3"/>
  <c r="O10" i="3"/>
  <c r="P10" i="3"/>
  <c r="G18" i="6"/>
  <c r="G19" i="6"/>
  <c r="G20" i="6"/>
  <c r="G21" i="6"/>
  <c r="G22" i="6"/>
  <c r="G23" i="6"/>
  <c r="H18" i="6"/>
  <c r="H19" i="6"/>
  <c r="H20" i="6"/>
  <c r="H21" i="6"/>
  <c r="H22" i="6"/>
  <c r="H23" i="6"/>
  <c r="G15" i="6"/>
  <c r="G16" i="6"/>
  <c r="G17" i="6"/>
  <c r="H15" i="6"/>
  <c r="H16" i="6"/>
  <c r="H17" i="6"/>
  <c r="G14" i="6"/>
  <c r="H14" i="6"/>
  <c r="G13" i="6"/>
  <c r="H13" i="6"/>
  <c r="G12" i="6"/>
  <c r="H12" i="6"/>
  <c r="D10" i="2"/>
  <c r="M10" i="2" s="1"/>
  <c r="D9" i="2"/>
  <c r="J9" i="2" s="1"/>
  <c r="D8" i="2"/>
  <c r="J8" i="2" s="1"/>
  <c r="L13" i="7"/>
  <c r="M13" i="7"/>
  <c r="N13" i="7"/>
  <c r="O13" i="7"/>
  <c r="L12" i="7"/>
  <c r="M12" i="7"/>
  <c r="N12" i="7"/>
  <c r="O12" i="7"/>
  <c r="L11" i="7"/>
  <c r="M11" i="7"/>
  <c r="N11" i="7"/>
  <c r="O11" i="7"/>
  <c r="L10" i="7"/>
  <c r="M10" i="7"/>
  <c r="N10" i="7"/>
  <c r="O10" i="7"/>
  <c r="G11" i="6"/>
  <c r="H11" i="6"/>
  <c r="G10" i="6"/>
  <c r="H10" i="6"/>
  <c r="L9" i="3"/>
  <c r="M9" i="3"/>
  <c r="N9" i="3"/>
  <c r="O9" i="3"/>
  <c r="P9" i="3"/>
  <c r="L8" i="3"/>
  <c r="M8" i="3"/>
  <c r="N8" i="3"/>
  <c r="O8" i="3"/>
  <c r="P8" i="3"/>
  <c r="L9" i="7"/>
  <c r="M9" i="7"/>
  <c r="N9" i="7"/>
  <c r="O9" i="7"/>
  <c r="L8" i="7"/>
  <c r="M8" i="7"/>
  <c r="N8" i="7"/>
  <c r="O8" i="7"/>
  <c r="D7" i="2"/>
  <c r="J7" i="2" s="1"/>
  <c r="G9" i="6"/>
  <c r="H9" i="6"/>
  <c r="K10" i="2" l="1"/>
  <c r="L10" i="2"/>
  <c r="M9" i="2"/>
  <c r="J10" i="2"/>
  <c r="L9" i="2"/>
  <c r="K9" i="2"/>
  <c r="M8" i="2"/>
  <c r="L8" i="2"/>
  <c r="K8" i="2"/>
  <c r="K7" i="2"/>
  <c r="M7" i="2"/>
  <c r="L7" i="2"/>
  <c r="K2" i="5" a="1"/>
  <c r="K2" i="5" s="1"/>
  <c r="G8" i="6" l="1"/>
  <c r="H8" i="6"/>
  <c r="G7" i="6"/>
  <c r="H7" i="6"/>
  <c r="L7" i="3"/>
  <c r="M7" i="3"/>
  <c r="N7" i="3"/>
  <c r="O7" i="3"/>
  <c r="P7" i="3"/>
  <c r="L7" i="7"/>
  <c r="M7" i="7"/>
  <c r="N7" i="7"/>
  <c r="O7" i="7"/>
  <c r="H6" i="6"/>
  <c r="G6" i="6"/>
  <c r="H4" i="34"/>
  <c r="C2" i="5"/>
  <c r="D6" i="2"/>
  <c r="L6" i="3" l="1"/>
  <c r="M6" i="3"/>
  <c r="K6" i="2"/>
  <c r="L6" i="7"/>
  <c r="P6" i="3"/>
  <c r="M6" i="7"/>
  <c r="N6" i="7"/>
  <c r="O6" i="7"/>
  <c r="N6" i="3"/>
  <c r="O6" i="3"/>
  <c r="J6" i="2"/>
  <c r="M6" i="2"/>
  <c r="L6" i="2"/>
  <c r="P11" i="2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<sst xmlns="http://schemas.openxmlformats.org/spreadsheetml/2006/main" count="867" uniqueCount="334">
  <si>
    <t>Número</t>
  </si>
  <si>
    <t>Nome</t>
  </si>
  <si>
    <t>Barra de</t>
  </si>
  <si>
    <t>Barra para</t>
  </si>
  <si>
    <t>Potência Nominal (MVA)</t>
  </si>
  <si>
    <t>Tensão (kV)</t>
  </si>
  <si>
    <t>Tipo de Conexão</t>
  </si>
  <si>
    <t>Barra Conectada</t>
  </si>
  <si>
    <t>YT</t>
  </si>
  <si>
    <t>Y</t>
  </si>
  <si>
    <t>D</t>
  </si>
  <si>
    <t>YT-D</t>
  </si>
  <si>
    <t>Y-D</t>
  </si>
  <si>
    <t>YT-YT</t>
  </si>
  <si>
    <t>Y-Y</t>
  </si>
  <si>
    <t>D-YT</t>
  </si>
  <si>
    <t>D-Y</t>
  </si>
  <si>
    <t>Tensão Primário (kV)</t>
  </si>
  <si>
    <t>Tensão Secundário (kV)</t>
  </si>
  <si>
    <t>Potência Base (MVA)</t>
  </si>
  <si>
    <t>X1 (%)</t>
  </si>
  <si>
    <t>X0 (%)</t>
  </si>
  <si>
    <t>Nome do Caso</t>
  </si>
  <si>
    <t>14 Barras IEEE</t>
  </si>
  <si>
    <t>Barra 1</t>
  </si>
  <si>
    <t>Barra 3</t>
  </si>
  <si>
    <t>Barra 4</t>
  </si>
  <si>
    <t>Barra 2</t>
  </si>
  <si>
    <t>Barra Curto-Circuito</t>
  </si>
  <si>
    <t>Tipo de Curto</t>
  </si>
  <si>
    <t>Impedância de Curto</t>
  </si>
  <si>
    <t>G1</t>
  </si>
  <si>
    <t>T1</t>
  </si>
  <si>
    <t>T2</t>
  </si>
  <si>
    <t>X1 (pu) Base</t>
  </si>
  <si>
    <t>X0 (pu) Base</t>
  </si>
  <si>
    <t>Trifásico</t>
  </si>
  <si>
    <t/>
  </si>
  <si>
    <t>Modelos de Curto</t>
  </si>
  <si>
    <t>Monofásico</t>
  </si>
  <si>
    <t>Bifásico</t>
  </si>
  <si>
    <t>Bifásico - Terra</t>
  </si>
  <si>
    <t>Imagem de Curto</t>
  </si>
  <si>
    <t xml:space="preserve"> </t>
  </si>
  <si>
    <t>'</t>
  </si>
  <si>
    <t>Nome do Caso de Estudo</t>
  </si>
  <si>
    <t>Selecione o Tipo de Curto</t>
  </si>
  <si>
    <t>Barra de Ocorrência de Falta</t>
  </si>
  <si>
    <t>ENTRE COM OS DADOS SOLICITADOS</t>
  </si>
  <si>
    <t>Tipo de Conexão Trafo</t>
  </si>
  <si>
    <t>Tipo de Conexão Maquina</t>
  </si>
  <si>
    <t>Fase A</t>
  </si>
  <si>
    <t>Fase B</t>
  </si>
  <si>
    <t>Fase C</t>
  </si>
  <si>
    <t>Sequência (+)</t>
  </si>
  <si>
    <t>Sequência (-)</t>
  </si>
  <si>
    <t>XN (%)</t>
  </si>
  <si>
    <t>XN (pu) Base</t>
  </si>
  <si>
    <t>XN P (%)</t>
  </si>
  <si>
    <t>XN S (%)</t>
  </si>
  <si>
    <t>XN P (pu) Base</t>
  </si>
  <si>
    <t>G2</t>
  </si>
  <si>
    <t>R0 (%)</t>
  </si>
  <si>
    <t>R1 (%)</t>
  </si>
  <si>
    <t>R1 (pu) Base</t>
  </si>
  <si>
    <t>R0 (pu) Base</t>
  </si>
  <si>
    <t>Barra 5</t>
  </si>
  <si>
    <t>Barra 6</t>
  </si>
  <si>
    <t>Barra 7</t>
  </si>
  <si>
    <t>T3</t>
  </si>
  <si>
    <t>Linha 45</t>
  </si>
  <si>
    <t>Sequência (0)</t>
  </si>
  <si>
    <t>XN S (pu) Base</t>
  </si>
  <si>
    <t>Potência Ativa (%)</t>
  </si>
  <si>
    <t>Potência Reativa (%)</t>
  </si>
  <si>
    <t>Tipo de Maquina</t>
  </si>
  <si>
    <t>Gerador</t>
  </si>
  <si>
    <t>Motor</t>
  </si>
  <si>
    <t>Tipo de Máquina</t>
  </si>
  <si>
    <t>Barra P</t>
  </si>
  <si>
    <t>Barra S</t>
  </si>
  <si>
    <t>Barra T</t>
  </si>
  <si>
    <t>Tensão Terciário (kV)</t>
  </si>
  <si>
    <t>Barra</t>
  </si>
  <si>
    <t>IF"</t>
  </si>
  <si>
    <t>Tensões nas Barras (pu)</t>
  </si>
  <si>
    <t>Correntes de Contribuição (kA)</t>
  </si>
  <si>
    <t>Elemento</t>
  </si>
  <si>
    <t>AAA</t>
  </si>
  <si>
    <t>Correntes Injetadas nos Barramentos (kA)</t>
  </si>
  <si>
    <t>0.0000 ∠ 0.00°</t>
  </si>
  <si>
    <t>T1 (BT)</t>
  </si>
  <si>
    <t>T2 (AT)</t>
  </si>
  <si>
    <t>T3 (AT)</t>
  </si>
  <si>
    <t>T1 (AT)</t>
  </si>
  <si>
    <t>T2 (BT)</t>
  </si>
  <si>
    <t>T3 (BT)</t>
  </si>
  <si>
    <t>L5</t>
  </si>
  <si>
    <t>Barra 8</t>
  </si>
  <si>
    <t>Barra 9</t>
  </si>
  <si>
    <t>Linha 46</t>
  </si>
  <si>
    <t>Linha 57</t>
  </si>
  <si>
    <t>Linha 69</t>
  </si>
  <si>
    <t>Linha 78</t>
  </si>
  <si>
    <t>Linha 89</t>
  </si>
  <si>
    <t>G3</t>
  </si>
  <si>
    <t>L6</t>
  </si>
  <si>
    <t>L8</t>
  </si>
  <si>
    <t>Corrente de Falta (kA) - Trifásico - Barra 8</t>
  </si>
  <si>
    <t>0.0000 + -21.3611j</t>
  </si>
  <si>
    <t>0.0000 + 0.0000j</t>
  </si>
  <si>
    <t>0.0000 + 17.3611j</t>
  </si>
  <si>
    <t>0.0000 + -20.0000j</t>
  </si>
  <si>
    <t>0.0000 + 16.0000j</t>
  </si>
  <si>
    <t>0.0000 + -21.0648j</t>
  </si>
  <si>
    <t>0.0000 + 17.0648j</t>
  </si>
  <si>
    <t>3.3074 + -39.4759j</t>
  </si>
  <si>
    <t>-1.3652 + 11.6041j</t>
  </si>
  <si>
    <t>-1.9422 + 10.5107j</t>
  </si>
  <si>
    <t>-1.1876 + 5.9751j</t>
  </si>
  <si>
    <t>-1.2820 + 5.5882j</t>
  </si>
  <si>
    <t>2.8047 + -35.6731j</t>
  </si>
  <si>
    <t>-1.6171 + 13.6980j</t>
  </si>
  <si>
    <t>-1.1551 + 9.7843j</t>
  </si>
  <si>
    <t>2.4371 + -32.4374j</t>
  </si>
  <si>
    <t>0.0000 + -13.3333j</t>
  </si>
  <si>
    <t>0.0000 + -5.4253j</t>
  </si>
  <si>
    <t>0.0000 + -5.4553j</t>
  </si>
  <si>
    <t>1.3230 + -8.8459j</t>
  </si>
  <si>
    <t>-0.5461 + 4.6416j</t>
  </si>
  <si>
    <t>-0.7769 + 4.2043j</t>
  </si>
  <si>
    <t>-0.4750 + 2.3901j</t>
  </si>
  <si>
    <t>-0.5128 + 2.2353j</t>
  </si>
  <si>
    <t>1.1219 + -7.8692j</t>
  </si>
  <si>
    <t>-0.6468 + 5.4792j</t>
  </si>
  <si>
    <t>-0.4620 + 3.9137j</t>
  </si>
  <si>
    <t>0.9748 + -6.1490j</t>
  </si>
  <si>
    <t>0.0000 + 0.0750j</t>
  </si>
  <si>
    <t>0.0000 + 0.1843j</t>
  </si>
  <si>
    <t>0.0000 + 0.1833j</t>
  </si>
  <si>
    <t>-0.0000 + 0.0000j</t>
  </si>
  <si>
    <t>3.8028 + -17.0792j</t>
  </si>
  <si>
    <t>4.1242 + -15.7989j</t>
  </si>
  <si>
    <t>3.7722 + -23.1322j</t>
  </si>
  <si>
    <t>0.0336 + 0.1410j</t>
  </si>
  <si>
    <t>0.0233 + 0.0509j</t>
  </si>
  <si>
    <t>0.0219 + 0.0509j</t>
  </si>
  <si>
    <t>0.0414 + 0.1159j</t>
  </si>
  <si>
    <t>0.0460 + 0.0961j</t>
  </si>
  <si>
    <t>0.0427 + 0.0955j</t>
  </si>
  <si>
    <t>0.0292 + 0.0636j</t>
  </si>
  <si>
    <t>0.0313 + 0.0625j</t>
  </si>
  <si>
    <t>0.0270 + 0.0629j</t>
  </si>
  <si>
    <t>0.0267 + 0.1390j</t>
  </si>
  <si>
    <t>0.0218 + 0.0556j</t>
  </si>
  <si>
    <t>0.0287 + 0.0626j</t>
  </si>
  <si>
    <t>0.0358 + 0.0781j</t>
  </si>
  <si>
    <t>0.0319 + 0.0633j</t>
  </si>
  <si>
    <t>0.0334 + 0.1112j</t>
  </si>
  <si>
    <t>0.0351 + 0.0929j</t>
  </si>
  <si>
    <t>0.0269 + 0.0687j</t>
  </si>
  <si>
    <t>0.0252 + 0.1393j</t>
  </si>
  <si>
    <t>0.0270 + 0.0627j</t>
  </si>
  <si>
    <t>0.0322 + 0.0638j</t>
  </si>
  <si>
    <t>0.0327 + 0.0791j</t>
  </si>
  <si>
    <t>0.0272 + 0.0696j</t>
  </si>
  <si>
    <t>0.0330 + 0.0872j</t>
  </si>
  <si>
    <t>0.0311 + 0.1133j</t>
  </si>
  <si>
    <t>0.0509 + 0.1426j</t>
  </si>
  <si>
    <t>0.0566 + 0.1182j</t>
  </si>
  <si>
    <t>0.0525 + 0.1175j</t>
  </si>
  <si>
    <t>0.0359 + 0.0782j</t>
  </si>
  <si>
    <t>0.0385 + 0.0769j</t>
  </si>
  <si>
    <t>0.0333 + 0.0774j</t>
  </si>
  <si>
    <t>0.0744 + 0.1641j</t>
  </si>
  <si>
    <t>0.0573 + 0.1017j</t>
  </si>
  <si>
    <t>0.0448 + 0.0976j</t>
  </si>
  <si>
    <t>0.0470 + 0.0886j</t>
  </si>
  <si>
    <t>0.0397 + 0.0788j</t>
  </si>
  <si>
    <t>0.0705 + 0.1673j</t>
  </si>
  <si>
    <t>0.0398 + 0.0792j</t>
  </si>
  <si>
    <t>0.0442 + 0.0858j</t>
  </si>
  <si>
    <t>0.0404 + 0.0976j</t>
  </si>
  <si>
    <t>0.0417 + 0.1391j</t>
  </si>
  <si>
    <t>0.0438 + 0.1161j</t>
  </si>
  <si>
    <t>0.0336 + 0.0859j</t>
  </si>
  <si>
    <t>0.0548 + 0.1537j</t>
  </si>
  <si>
    <t>0.0407 + 0.1076j</t>
  </si>
  <si>
    <t>0.0384 + 0.1399j</t>
  </si>
  <si>
    <t>2.2711 + -6.5317j</t>
  </si>
  <si>
    <t>2.1897 + -6.1396j</t>
  </si>
  <si>
    <t>2.1089 + -9.0429j</t>
  </si>
  <si>
    <t>0.3095 + 0.0382j</t>
  </si>
  <si>
    <t>0.2951 + -0.0812j</t>
  </si>
  <si>
    <t>0.2914 + -0.0626j</t>
  </si>
  <si>
    <t>0.2636 + -0.1388j</t>
  </si>
  <si>
    <t>0.2517 + -0.1652j</t>
  </si>
  <si>
    <t>0.2637 + -0.1265j</t>
  </si>
  <si>
    <t>0.3182 + -0.0158j</t>
  </si>
  <si>
    <t>0.2652 + -0.1509j</t>
  </si>
  <si>
    <t>0.2687 + -0.1223j</t>
  </si>
  <si>
    <t>0.2506 + -0.1709j</t>
  </si>
  <si>
    <t>0.2555 + -0.1632j</t>
  </si>
  <si>
    <t>0.3263 + 0.0318j</t>
  </si>
  <si>
    <t>0.2568 + -0.1564j</t>
  </si>
  <si>
    <t>0.2533 + -0.1591j</t>
  </si>
  <si>
    <t>0.2753 + -0.0871j</t>
  </si>
  <si>
    <t>0.3202 + 0.0668j</t>
  </si>
  <si>
    <t>0.3151 + -0.0281j</t>
  </si>
  <si>
    <t>0.2969 + -0.0767j</t>
  </si>
  <si>
    <t>0.3386 + 0.0370j</t>
  </si>
  <si>
    <t>0.3121 + -0.0372j</t>
  </si>
  <si>
    <t>0.3250 + 0.1022j</t>
  </si>
  <si>
    <t>1.5387 ∠ -70.39°</t>
  </si>
  <si>
    <t>1.5387 ∠ 169.61°</t>
  </si>
  <si>
    <t>1.5387 ∠ 49.61°</t>
  </si>
  <si>
    <t>0.5769 ∠ 35.19°</t>
  </si>
  <si>
    <t>0.5769 ∠ -84.81°</t>
  </si>
  <si>
    <t>0.5769 ∠ 155.19°</t>
  </si>
  <si>
    <t>0.3917 ∠ 31.68°</t>
  </si>
  <si>
    <t>0.3917 ∠ -88.32°</t>
  </si>
  <si>
    <t>0.3917 ∠ 151.68°</t>
  </si>
  <si>
    <t>0.4288 ∠ 31.48°</t>
  </si>
  <si>
    <t>0.4288 ∠ -88.52°</t>
  </si>
  <si>
    <t>0.4288 ∠ 151.48°</t>
  </si>
  <si>
    <t>0.4808 ∠ 7.68°</t>
  </si>
  <si>
    <t>0.4808 ∠ -112.32°</t>
  </si>
  <si>
    <t>0.4808 ∠ 127.68°</t>
  </si>
  <si>
    <t>0.4020 ∠ 12.83°</t>
  </si>
  <si>
    <t>0.4020 ∠ -107.17°</t>
  </si>
  <si>
    <t>0.4020 ∠ 132.83°</t>
  </si>
  <si>
    <t>0.4213 ∠ 10.80°</t>
  </si>
  <si>
    <t>0.4213 ∠ -109.20°</t>
  </si>
  <si>
    <t>0.4213 ∠ 130.80°</t>
  </si>
  <si>
    <t>0.2398 ∠ 3.42°</t>
  </si>
  <si>
    <t>0.2398 ∠ -116.58°</t>
  </si>
  <si>
    <t>0.2398 ∠ 123.42°</t>
  </si>
  <si>
    <t>0.0000 ∠ 90.00°</t>
  </si>
  <si>
    <t>0.0000 ∠ -30.00°</t>
  </si>
  <si>
    <t>0.0000 ∠ -150.00°</t>
  </si>
  <si>
    <t>0.2950 ∠ 2.65°</t>
  </si>
  <si>
    <t>0.2950 ∠ -117.35°</t>
  </si>
  <si>
    <t>0.2950 ∠ 122.65°</t>
  </si>
  <si>
    <t>0.2586 ∠ -99.81°</t>
  </si>
  <si>
    <t>0.2586 ∠ -39.81°</t>
  </si>
  <si>
    <t>0.2586 ∠ -159.81°</t>
  </si>
  <si>
    <t>0.1726 ∠ -92.78°</t>
  </si>
  <si>
    <t>0.1726 ∠ -32.78°</t>
  </si>
  <si>
    <t>0.1726 ∠ -152.78°</t>
  </si>
  <si>
    <t>0.2600 ∠ -52.59°</t>
  </si>
  <si>
    <t>0.2600 ∠ -172.59°</t>
  </si>
  <si>
    <t>0.2600 ∠ -112.59°</t>
  </si>
  <si>
    <t>0.1956 ∠ -48.34°</t>
  </si>
  <si>
    <t>0.1956 ∠ -168.34°</t>
  </si>
  <si>
    <t>0.1956 ∠ -108.34°</t>
  </si>
  <si>
    <t>0.8304 ∠ -79.84°</t>
  </si>
  <si>
    <t>0.8304 ∠ -19.84°</t>
  </si>
  <si>
    <t>0.8304 ∠ -139.84°</t>
  </si>
  <si>
    <t>0.7296 ∠ -80.62°</t>
  </si>
  <si>
    <t>0.7296 ∠ -20.62°</t>
  </si>
  <si>
    <t>0.7296 ∠ -140.62°</t>
  </si>
  <si>
    <t>14.9993 ∠ -66.99°</t>
  </si>
  <si>
    <t>14.9993 ∠ -6.99°</t>
  </si>
  <si>
    <t>14.9993 ∠ -126.99°</t>
  </si>
  <si>
    <t>21.2945 ∠ -61.08°</t>
  </si>
  <si>
    <t>21.2945 ∠ -1.08°</t>
  </si>
  <si>
    <t>21.2945 ∠ -121.08°</t>
  </si>
  <si>
    <t>19.9966 ∠ -61.11°</t>
  </si>
  <si>
    <t>19.9966 ∠ -1.11°</t>
  </si>
  <si>
    <t>19.9966 ∠ -121.11°</t>
  </si>
  <si>
    <t>0.1359 ∠ -145.37°</t>
  </si>
  <si>
    <t>0.1359 ∠ -85.37°</t>
  </si>
  <si>
    <t>0.1359 ∠ -25.37°</t>
  </si>
  <si>
    <t>0.1003 ∠ -150.76°</t>
  </si>
  <si>
    <t>0.1003 ∠ -90.76°</t>
  </si>
  <si>
    <t>0.1003 ∠ -30.76°</t>
  </si>
  <si>
    <t>0.0000 ∠ -70.71°</t>
  </si>
  <si>
    <t>0.0000 ∠ -10.71°</t>
  </si>
  <si>
    <t>0.0000 ∠ -130.71°</t>
  </si>
  <si>
    <t>0.4304 ∠ -96.99°</t>
  </si>
  <si>
    <t>0.4304 ∠ -36.99°</t>
  </si>
  <si>
    <t>0.4304 ∠ -156.99°</t>
  </si>
  <si>
    <t>0.6111 ∠ -91.08°</t>
  </si>
  <si>
    <t>0.6111 ∠ -31.08°</t>
  </si>
  <si>
    <t>0.6111 ∠ -151.08°</t>
  </si>
  <si>
    <t>0.5738 ∠ -91.11°</t>
  </si>
  <si>
    <t>0.5738 ∠ -31.11°</t>
  </si>
  <si>
    <t>0.5738 ∠ -151.11°</t>
  </si>
  <si>
    <t>14.9993 ∠ 173.01°</t>
  </si>
  <si>
    <t>14.9993 ∠ 53.01°</t>
  </si>
  <si>
    <t>21.2945 ∠ 178.92°</t>
  </si>
  <si>
    <t>21.2945 ∠ 58.92°</t>
  </si>
  <si>
    <t>19.9966 ∠ 178.89°</t>
  </si>
  <si>
    <t>19.9966 ∠ 58.89°</t>
  </si>
  <si>
    <t>Impedância de Falta (pu)</t>
  </si>
  <si>
    <t>Caminho Excel</t>
  </si>
  <si>
    <t>Data: 12/06/2025 13:52:58</t>
  </si>
  <si>
    <t>Barra 10</t>
  </si>
  <si>
    <t>T4</t>
  </si>
  <si>
    <t>Linha 34</t>
  </si>
  <si>
    <t>L1</t>
  </si>
  <si>
    <t>L2</t>
  </si>
  <si>
    <t>L3</t>
  </si>
  <si>
    <t>L4</t>
  </si>
  <si>
    <t>T5</t>
  </si>
  <si>
    <t>T6</t>
  </si>
  <si>
    <t>Barra 11</t>
  </si>
  <si>
    <t>Barra 12</t>
  </si>
  <si>
    <t>T7</t>
  </si>
  <si>
    <t>T8</t>
  </si>
  <si>
    <t>Linha 9-10</t>
  </si>
  <si>
    <t>Linha 10-11</t>
  </si>
  <si>
    <t>Linha 11-12</t>
  </si>
  <si>
    <t>L9.1</t>
  </si>
  <si>
    <t>L9.2</t>
  </si>
  <si>
    <t>L9.3</t>
  </si>
  <si>
    <t>L10.1</t>
  </si>
  <si>
    <t>L10.2</t>
  </si>
  <si>
    <t>L10.3</t>
  </si>
  <si>
    <t>L11.1</t>
  </si>
  <si>
    <t>L11.2</t>
  </si>
  <si>
    <t>L11.3</t>
  </si>
  <si>
    <t>L12.1</t>
  </si>
  <si>
    <t>L12.2</t>
  </si>
  <si>
    <t>L12.3</t>
  </si>
  <si>
    <t>T3-1</t>
  </si>
  <si>
    <t>T3-2</t>
  </si>
  <si>
    <t>T3-3</t>
  </si>
  <si>
    <t>Y-YT-D</t>
  </si>
  <si>
    <t>D-YT-D</t>
  </si>
  <si>
    <t>YT-Y-YT</t>
  </si>
  <si>
    <t>Exemplo 12 Barras - Mais Complexo</t>
  </si>
  <si>
    <t>G4</t>
  </si>
  <si>
    <t>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</si>
</sst>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1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8ED973"/>
      <name val="Aptos Narrow"/>
      <family val="2"/>
      <scheme val="minor"/>
    </font>
    <font>
      <sz val="11"/>
      <color rgb="FFFF714F"/>
      <name val="Aptos Narrow"/>
      <family val="2"/>
      <scheme val="minor"/>
    </font>
    <font>
      <sz val="11"/>
      <color rgb="FFA6C8EC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FF00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51316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rgb="FF1414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1" xfId="0" applyFill="1" applyBorder="1"/>
    <xf numFmtId="0" fontId="0" fillId="2" borderId="0" xfId="0" quotePrefix="1" applyFill="1"/>
    <xf numFmtId="0" fontId="0" fillId="0" borderId="0" xfId="0" quotePrefix="1"/>
    <xf numFmtId="0" fontId="4" fillId="0" borderId="0" xfId="0" applyFont="1"/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6" fillId="0" borderId="6" xfId="0" applyFont="1" applyBorder="1"/>
    <xf numFmtId="0" fontId="6" fillId="0" borderId="0" xfId="0" applyFont="1"/>
    <xf numFmtId="0" fontId="6" fillId="0" borderId="7" xfId="0" applyFont="1" applyBorder="1"/>
    <xf numFmtId="0" fontId="7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7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9" xfId="0" applyBorder="1"/>
    <xf numFmtId="164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6" borderId="13" xfId="0" applyFill="1" applyBorder="1" applyAlignment="1">
      <alignment horizontal="center"/>
    </xf>
    <xf numFmtId="164" fontId="0" fillId="6" borderId="13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6" borderId="16" xfId="0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2" fontId="0" fillId="6" borderId="13" xfId="0" applyNumberForma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5" fontId="0" fillId="6" borderId="13" xfId="0" applyNumberForma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1" fontId="0" fillId="6" borderId="13" xfId="0" applyNumberFormat="1" applyFill="1" applyBorder="1" applyAlignment="1">
      <alignment horizontal="center"/>
    </xf>
    <xf numFmtId="165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0" xfId="0" quotePrefix="1" applyFill="1" applyProtection="1">
      <protection locked="0"/>
    </xf>
    <xf numFmtId="0" fontId="0" fillId="2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8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2" fillId="0" borderId="0" xfId="0" applyFont="1"/>
    <xf numFmtId="164" fontId="15" fillId="0" borderId="0" xfId="0" applyNumberFormat="1" applyFont="1" applyAlignment="1" applyProtection="1">
      <alignment horizontal="center"/>
      <protection locked="0"/>
    </xf>
    <xf numFmtId="0" fontId="0" fillId="6" borderId="18" xfId="0" applyFill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2" borderId="0" xfId="0" quotePrefix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1" xfId="0" applyFont="1" applyBorder="1" applyAlignment="1" applyProtection="1">
      <alignment horizontal="center"/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165" fontId="0" fillId="6" borderId="0" xfId="0" applyNumberFormat="1" applyFill="1" applyAlignment="1" applyProtection="1">
      <alignment horizontal="center"/>
      <protection locked="0"/>
    </xf>
  </cellXfs>
  <cellStyles count="1">
    <cellStyle name="Normal" xfId="0" builtinId="0"/>
  </cellStyles>
  <dxfs count="52">
    <dxf>
      <font>
        <b/>
        <i val="0"/>
        <color theme="0"/>
      </font>
      <fill>
        <patternFill>
          <bgColor rgb="FFFF0000"/>
        </patternFill>
      </fill>
    </dxf>
    <dxf>
      <numFmt numFmtId="165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65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numFmt numFmtId="164" formatCode="0.0000"/>
      <alignment horizontal="center" vertical="bottom" textRotation="0" wrapText="0" indent="0" justifyLastLine="0" shrinkToFit="0" readingOrder="0"/>
      <protection locked="0" hidden="0"/>
    </dxf>
    <dxf>
      <font>
        <b val="0"/>
      </font>
      <numFmt numFmtId="164" formatCode="0.00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  <dxf>
      <numFmt numFmtId="164" formatCode="0.0000"/>
    </dxf>
    <dxf>
      <numFmt numFmtId="164" formatCode="0.0000"/>
    </dxf>
    <dxf>
      <numFmt numFmtId="165" formatCode="0.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</dxfs>
  <tableStyles count="0" defaultTableStyle="TableStyleMedium2" defaultPivotStyle="PivotStyleLight16"/>
  <colors>
    <mruColors>
      <color rgb="FF141414"/>
      <color rgb="FFFF714F"/>
      <color rgb="FFFF3300"/>
      <color rgb="FFCC3300"/>
      <color rgb="FF990000"/>
      <color rgb="FF151316"/>
      <color rgb="FFDDDDDD"/>
      <color rgb="FF1048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23/09/relationships/Python" Target="pytho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microsoft.com/office/2007/relationships/hdphoto" Target="../media/hdphoto9.wdp"/><Relationship Id="rId26" Type="http://schemas.openxmlformats.org/officeDocument/2006/relationships/image" Target="../media/image18.png"/><Relationship Id="rId3" Type="http://schemas.openxmlformats.org/officeDocument/2006/relationships/image" Target="../media/image6.png"/><Relationship Id="rId21" Type="http://schemas.openxmlformats.org/officeDocument/2006/relationships/image" Target="../media/image15.png"/><Relationship Id="rId34" Type="http://schemas.openxmlformats.org/officeDocument/2006/relationships/image" Target="../media/image25.png"/><Relationship Id="rId7" Type="http://schemas.openxmlformats.org/officeDocument/2006/relationships/image" Target="../media/image8.png"/><Relationship Id="rId12" Type="http://schemas.microsoft.com/office/2007/relationships/hdphoto" Target="../media/hdphoto6.wdp"/><Relationship Id="rId17" Type="http://schemas.openxmlformats.org/officeDocument/2006/relationships/image" Target="../media/image13.png"/><Relationship Id="rId25" Type="http://schemas.microsoft.com/office/2007/relationships/hdphoto" Target="../media/hdphoto12.wdp"/><Relationship Id="rId33" Type="http://schemas.openxmlformats.org/officeDocument/2006/relationships/image" Target="../media/image24.png"/><Relationship Id="rId2" Type="http://schemas.microsoft.com/office/2007/relationships/hdphoto" Target="../media/hdphoto1.wdp"/><Relationship Id="rId16" Type="http://schemas.microsoft.com/office/2007/relationships/hdphoto" Target="../media/hdphoto8.wdp"/><Relationship Id="rId20" Type="http://schemas.microsoft.com/office/2007/relationships/hdphoto" Target="../media/hdphoto10.wdp"/><Relationship Id="rId29" Type="http://schemas.openxmlformats.org/officeDocument/2006/relationships/image" Target="../media/image20.png"/><Relationship Id="rId1" Type="http://schemas.openxmlformats.org/officeDocument/2006/relationships/image" Target="../media/image5.png"/><Relationship Id="rId6" Type="http://schemas.microsoft.com/office/2007/relationships/hdphoto" Target="../media/hdphoto3.wdp"/><Relationship Id="rId11" Type="http://schemas.openxmlformats.org/officeDocument/2006/relationships/image" Target="../media/image10.png"/><Relationship Id="rId24" Type="http://schemas.openxmlformats.org/officeDocument/2006/relationships/image" Target="../media/image17.png"/><Relationship Id="rId32" Type="http://schemas.openxmlformats.org/officeDocument/2006/relationships/image" Target="../media/image23.png"/><Relationship Id="rId5" Type="http://schemas.openxmlformats.org/officeDocument/2006/relationships/image" Target="../media/image7.png"/><Relationship Id="rId15" Type="http://schemas.openxmlformats.org/officeDocument/2006/relationships/image" Target="../media/image12.png"/><Relationship Id="rId23" Type="http://schemas.microsoft.com/office/2007/relationships/hdphoto" Target="../media/hdphoto11.wdp"/><Relationship Id="rId28" Type="http://schemas.microsoft.com/office/2007/relationships/hdphoto" Target="../media/hdphoto13.wdp"/><Relationship Id="rId36" Type="http://schemas.openxmlformats.org/officeDocument/2006/relationships/image" Target="../media/image26.png"/><Relationship Id="rId10" Type="http://schemas.microsoft.com/office/2007/relationships/hdphoto" Target="../media/hdphoto5.wdp"/><Relationship Id="rId19" Type="http://schemas.openxmlformats.org/officeDocument/2006/relationships/image" Target="../media/image14.png"/><Relationship Id="rId31" Type="http://schemas.openxmlformats.org/officeDocument/2006/relationships/image" Target="../media/image22.png"/><Relationship Id="rId4" Type="http://schemas.microsoft.com/office/2007/relationships/hdphoto" Target="../media/hdphoto2.wdp"/><Relationship Id="rId9" Type="http://schemas.openxmlformats.org/officeDocument/2006/relationships/image" Target="../media/image9.png"/><Relationship Id="rId14" Type="http://schemas.microsoft.com/office/2007/relationships/hdphoto" Target="../media/hdphoto7.wdp"/><Relationship Id="rId22" Type="http://schemas.openxmlformats.org/officeDocument/2006/relationships/image" Target="../media/image16.png"/><Relationship Id="rId27" Type="http://schemas.openxmlformats.org/officeDocument/2006/relationships/image" Target="../media/image19.png"/><Relationship Id="rId30" Type="http://schemas.openxmlformats.org/officeDocument/2006/relationships/image" Target="../media/image21.png"/><Relationship Id="rId35" Type="http://schemas.microsoft.com/office/2007/relationships/hdphoto" Target="../media/hdphoto14.wdp"/><Relationship Id="rId8" Type="http://schemas.microsoft.com/office/2007/relationships/hdphoto" Target="../media/hdphoto4.wdp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png"/><Relationship Id="rId18" Type="http://schemas.openxmlformats.org/officeDocument/2006/relationships/image" Target="../media/image22.png"/><Relationship Id="rId26" Type="http://schemas.openxmlformats.org/officeDocument/2006/relationships/image" Target="../media/image8.png"/><Relationship Id="rId39" Type="http://schemas.microsoft.com/office/2007/relationships/hdphoto" Target="../media/hdphoto8.wdp"/><Relationship Id="rId21" Type="http://schemas.openxmlformats.org/officeDocument/2006/relationships/image" Target="../media/image23.png"/><Relationship Id="rId34" Type="http://schemas.openxmlformats.org/officeDocument/2006/relationships/image" Target="../media/image6.png"/><Relationship Id="rId42" Type="http://schemas.openxmlformats.org/officeDocument/2006/relationships/image" Target="../media/image27.png"/><Relationship Id="rId47" Type="http://schemas.microsoft.com/office/2007/relationships/hdphoto" Target="../media/hdphoto3.wdp"/><Relationship Id="rId7" Type="http://schemas.openxmlformats.org/officeDocument/2006/relationships/image" Target="../media/image18.png"/><Relationship Id="rId2" Type="http://schemas.openxmlformats.org/officeDocument/2006/relationships/image" Target="../media/image15.png"/><Relationship Id="rId16" Type="http://schemas.openxmlformats.org/officeDocument/2006/relationships/hyperlink" Target="#Z_Barra_P_N!A1"/><Relationship Id="rId29" Type="http://schemas.microsoft.com/office/2007/relationships/hdphoto" Target="../media/hdphoto6.wdp"/><Relationship Id="rId1" Type="http://schemas.openxmlformats.org/officeDocument/2006/relationships/hyperlink" Target="#'Rascunho Gr&#225;fico'!A1"/><Relationship Id="rId6" Type="http://schemas.openxmlformats.org/officeDocument/2006/relationships/hyperlink" Target="#Transformador!A1"/><Relationship Id="rId11" Type="http://schemas.openxmlformats.org/officeDocument/2006/relationships/image" Target="../media/image20.png"/><Relationship Id="rId24" Type="http://schemas.openxmlformats.org/officeDocument/2006/relationships/image" Target="../media/image16.png"/><Relationship Id="rId32" Type="http://schemas.openxmlformats.org/officeDocument/2006/relationships/image" Target="../media/image13.png"/><Relationship Id="rId37" Type="http://schemas.microsoft.com/office/2007/relationships/hdphoto" Target="../media/hdphoto5.wdp"/><Relationship Id="rId40" Type="http://schemas.openxmlformats.org/officeDocument/2006/relationships/image" Target="../media/image14.png"/><Relationship Id="rId45" Type="http://schemas.openxmlformats.org/officeDocument/2006/relationships/hyperlink" Target="#'Linha'!A1"/><Relationship Id="rId5" Type="http://schemas.microsoft.com/office/2007/relationships/hdphoto" Target="../media/hdphoto12.wdp"/><Relationship Id="rId15" Type="http://schemas.openxmlformats.org/officeDocument/2006/relationships/image" Target="../media/image21.png"/><Relationship Id="rId23" Type="http://schemas.openxmlformats.org/officeDocument/2006/relationships/image" Target="../media/image24.png"/><Relationship Id="rId28" Type="http://schemas.openxmlformats.org/officeDocument/2006/relationships/image" Target="../media/image10.png"/><Relationship Id="rId36" Type="http://schemas.openxmlformats.org/officeDocument/2006/relationships/image" Target="../media/image9.png"/><Relationship Id="rId10" Type="http://schemas.openxmlformats.org/officeDocument/2006/relationships/hyperlink" Target="#Gerador!A1"/><Relationship Id="rId19" Type="http://schemas.openxmlformats.org/officeDocument/2006/relationships/hyperlink" Target="#Z_Barra_Z!A1"/><Relationship Id="rId31" Type="http://schemas.microsoft.com/office/2007/relationships/hdphoto" Target="../media/hdphoto7.wdp"/><Relationship Id="rId44" Type="http://schemas.microsoft.com/office/2007/relationships/hdphoto" Target="../media/hdphoto1.wdp"/><Relationship Id="rId4" Type="http://schemas.openxmlformats.org/officeDocument/2006/relationships/image" Target="../media/image17.png"/><Relationship Id="rId9" Type="http://schemas.microsoft.com/office/2007/relationships/hdphoto" Target="../media/hdphoto14.wdp"/><Relationship Id="rId14" Type="http://schemas.openxmlformats.org/officeDocument/2006/relationships/hyperlink" Target="#Y_Barra_P_N!A1"/><Relationship Id="rId22" Type="http://schemas.openxmlformats.org/officeDocument/2006/relationships/hyperlink" Target="#'Diagrama El&#233;trico'!A1"/><Relationship Id="rId27" Type="http://schemas.microsoft.com/office/2007/relationships/hdphoto" Target="../media/hdphoto4.wdp"/><Relationship Id="rId30" Type="http://schemas.openxmlformats.org/officeDocument/2006/relationships/image" Target="../media/image11.png"/><Relationship Id="rId35" Type="http://schemas.microsoft.com/office/2007/relationships/hdphoto" Target="../media/hdphoto2.wdp"/><Relationship Id="rId43" Type="http://schemas.openxmlformats.org/officeDocument/2006/relationships/image" Target="../media/image5.png"/><Relationship Id="rId8" Type="http://schemas.openxmlformats.org/officeDocument/2006/relationships/image" Target="../media/image25.png"/><Relationship Id="rId3" Type="http://schemas.openxmlformats.org/officeDocument/2006/relationships/hyperlink" Target="#Barra!A1"/><Relationship Id="rId12" Type="http://schemas.openxmlformats.org/officeDocument/2006/relationships/hyperlink" Target="#Motor!A1"/><Relationship Id="rId17" Type="http://schemas.openxmlformats.org/officeDocument/2006/relationships/hyperlink" Target="#Y_Barra_Z!A1"/><Relationship Id="rId25" Type="http://schemas.microsoft.com/office/2007/relationships/hdphoto" Target="../media/hdphoto11.wdp"/><Relationship Id="rId33" Type="http://schemas.microsoft.com/office/2007/relationships/hdphoto" Target="../media/hdphoto9.wdp"/><Relationship Id="rId38" Type="http://schemas.openxmlformats.org/officeDocument/2006/relationships/image" Target="../media/image12.png"/><Relationship Id="rId46" Type="http://schemas.openxmlformats.org/officeDocument/2006/relationships/image" Target="../media/image7.png"/><Relationship Id="rId20" Type="http://schemas.openxmlformats.org/officeDocument/2006/relationships/hyperlink" Target="#Relat&#243;rio!A1"/><Relationship Id="rId41" Type="http://schemas.microsoft.com/office/2007/relationships/hdphoto" Target="../media/hdphoto10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Y_Barra_1_2!A1"/><Relationship Id="rId18" Type="http://schemas.microsoft.com/office/2007/relationships/hdphoto" Target="../media/hdphoto16.wdp"/><Relationship Id="rId26" Type="http://schemas.openxmlformats.org/officeDocument/2006/relationships/hyperlink" Target="#'Diagrama El&#233;trico'!A1"/><Relationship Id="rId3" Type="http://schemas.microsoft.com/office/2007/relationships/hdphoto" Target="../media/hdphoto1.wdp"/><Relationship Id="rId21" Type="http://schemas.microsoft.com/office/2007/relationships/hdphoto" Target="../media/hdphoto7.wdp"/><Relationship Id="rId7" Type="http://schemas.openxmlformats.org/officeDocument/2006/relationships/hyperlink" Target="#Transformador!A1"/><Relationship Id="rId12" Type="http://schemas.microsoft.com/office/2007/relationships/hdphoto" Target="../media/hdphoto4.wdp"/><Relationship Id="rId17" Type="http://schemas.openxmlformats.org/officeDocument/2006/relationships/image" Target="../media/image29.png"/><Relationship Id="rId25" Type="http://schemas.microsoft.com/office/2007/relationships/hdphoto" Target="../media/hdphoto17.wdp"/><Relationship Id="rId2" Type="http://schemas.openxmlformats.org/officeDocument/2006/relationships/image" Target="../media/image5.png"/><Relationship Id="rId16" Type="http://schemas.openxmlformats.org/officeDocument/2006/relationships/hyperlink" Target="#Z_Barra_1_2!A1"/><Relationship Id="rId20" Type="http://schemas.openxmlformats.org/officeDocument/2006/relationships/image" Target="../media/image11.png"/><Relationship Id="rId29" Type="http://schemas.openxmlformats.org/officeDocument/2006/relationships/hyperlink" Target="#'Rascunho Gr&#225;fico'!A1"/><Relationship Id="rId1" Type="http://schemas.openxmlformats.org/officeDocument/2006/relationships/hyperlink" Target="#Barra!A1"/><Relationship Id="rId6" Type="http://schemas.microsoft.com/office/2007/relationships/hdphoto" Target="../media/hdphoto15.wdp"/><Relationship Id="rId11" Type="http://schemas.openxmlformats.org/officeDocument/2006/relationships/image" Target="../media/image8.png"/><Relationship Id="rId24" Type="http://schemas.openxmlformats.org/officeDocument/2006/relationships/image" Target="../media/image30.png"/><Relationship Id="rId5" Type="http://schemas.openxmlformats.org/officeDocument/2006/relationships/image" Target="../media/image28.png"/><Relationship Id="rId15" Type="http://schemas.microsoft.com/office/2007/relationships/hdphoto" Target="../media/hdphoto6.wdp"/><Relationship Id="rId23" Type="http://schemas.openxmlformats.org/officeDocument/2006/relationships/hyperlink" Target="#Relat&#243;rio!A1"/><Relationship Id="rId28" Type="http://schemas.microsoft.com/office/2007/relationships/hdphoto" Target="../media/hdphoto18.wdp"/><Relationship Id="rId10" Type="http://schemas.openxmlformats.org/officeDocument/2006/relationships/hyperlink" Target="#Maquina!A1"/><Relationship Id="rId19" Type="http://schemas.openxmlformats.org/officeDocument/2006/relationships/hyperlink" Target="#Y_Barra_0!A1"/><Relationship Id="rId31" Type="http://schemas.openxmlformats.org/officeDocument/2006/relationships/hyperlink" Target="#Carga!A1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10.png"/><Relationship Id="rId22" Type="http://schemas.openxmlformats.org/officeDocument/2006/relationships/hyperlink" Target="#Z_Barra_0!A1"/><Relationship Id="rId27" Type="http://schemas.openxmlformats.org/officeDocument/2006/relationships/image" Target="../media/image31.png"/><Relationship Id="rId30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hyperlink" Target="#Y_Barra_1_2!A1"/><Relationship Id="rId18" Type="http://schemas.microsoft.com/office/2007/relationships/hdphoto" Target="../media/hdphoto8.wdp"/><Relationship Id="rId26" Type="http://schemas.openxmlformats.org/officeDocument/2006/relationships/hyperlink" Target="#'Diagrama El&#233;trico'!A1"/><Relationship Id="rId3" Type="http://schemas.microsoft.com/office/2007/relationships/hdphoto" Target="../media/hdphoto3.wdp"/><Relationship Id="rId21" Type="http://schemas.microsoft.com/office/2007/relationships/hdphoto" Target="../media/hdphoto7.wdp"/><Relationship Id="rId7" Type="http://schemas.openxmlformats.org/officeDocument/2006/relationships/hyperlink" Target="#Configura&#231;&#227;o!A1"/><Relationship Id="rId12" Type="http://schemas.microsoft.com/office/2007/relationships/hdphoto" Target="../media/hdphoto4.wdp"/><Relationship Id="rId17" Type="http://schemas.openxmlformats.org/officeDocument/2006/relationships/image" Target="../media/image12.png"/><Relationship Id="rId25" Type="http://schemas.microsoft.com/office/2007/relationships/hdphoto" Target="../media/hdphoto9.wdp"/><Relationship Id="rId2" Type="http://schemas.openxmlformats.org/officeDocument/2006/relationships/image" Target="../media/image7.png"/><Relationship Id="rId16" Type="http://schemas.openxmlformats.org/officeDocument/2006/relationships/hyperlink" Target="#Z_Barra_1_2!A1"/><Relationship Id="rId20" Type="http://schemas.openxmlformats.org/officeDocument/2006/relationships/image" Target="../media/image11.png"/><Relationship Id="rId29" Type="http://schemas.openxmlformats.org/officeDocument/2006/relationships/hyperlink" Target="#Barra!A1"/><Relationship Id="rId1" Type="http://schemas.openxmlformats.org/officeDocument/2006/relationships/hyperlink" Target="#'Linha'!A1"/><Relationship Id="rId6" Type="http://schemas.microsoft.com/office/2007/relationships/hdphoto" Target="../media/hdphoto2.wdp"/><Relationship Id="rId11" Type="http://schemas.openxmlformats.org/officeDocument/2006/relationships/image" Target="../media/image8.png"/><Relationship Id="rId24" Type="http://schemas.openxmlformats.org/officeDocument/2006/relationships/image" Target="../media/image13.png"/><Relationship Id="rId32" Type="http://schemas.openxmlformats.org/officeDocument/2006/relationships/hyperlink" Target="#Carga!A1"/><Relationship Id="rId5" Type="http://schemas.openxmlformats.org/officeDocument/2006/relationships/image" Target="../media/image6.png"/><Relationship Id="rId15" Type="http://schemas.microsoft.com/office/2007/relationships/hdphoto" Target="../media/hdphoto6.wdp"/><Relationship Id="rId23" Type="http://schemas.openxmlformats.org/officeDocument/2006/relationships/hyperlink" Target="#Relat&#243;rio!A1"/><Relationship Id="rId28" Type="http://schemas.microsoft.com/office/2007/relationships/hdphoto" Target="../media/hdphoto10.wdp"/><Relationship Id="rId10" Type="http://schemas.openxmlformats.org/officeDocument/2006/relationships/hyperlink" Target="#Maquina!A1"/><Relationship Id="rId19" Type="http://schemas.openxmlformats.org/officeDocument/2006/relationships/hyperlink" Target="#Y_Barra_0!A1"/><Relationship Id="rId31" Type="http://schemas.microsoft.com/office/2007/relationships/hdphoto" Target="../media/hdphoto12.wdp"/><Relationship Id="rId4" Type="http://schemas.openxmlformats.org/officeDocument/2006/relationships/hyperlink" Target="#Transformador!A1"/><Relationship Id="rId9" Type="http://schemas.microsoft.com/office/2007/relationships/hdphoto" Target="../media/hdphoto11.wdp"/><Relationship Id="rId14" Type="http://schemas.openxmlformats.org/officeDocument/2006/relationships/image" Target="../media/image10.png"/><Relationship Id="rId22" Type="http://schemas.openxmlformats.org/officeDocument/2006/relationships/hyperlink" Target="#Z_Barra_0!A1"/><Relationship Id="rId27" Type="http://schemas.openxmlformats.org/officeDocument/2006/relationships/image" Target="../media/image14.png"/><Relationship Id="rId30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Y_Barra_1_2!A1"/><Relationship Id="rId18" Type="http://schemas.microsoft.com/office/2007/relationships/hdphoto" Target="../media/hdphoto8.wdp"/><Relationship Id="rId26" Type="http://schemas.openxmlformats.org/officeDocument/2006/relationships/image" Target="../media/image30.png"/><Relationship Id="rId3" Type="http://schemas.microsoft.com/office/2007/relationships/hdphoto" Target="../media/hdphoto1.wdp"/><Relationship Id="rId21" Type="http://schemas.microsoft.com/office/2007/relationships/hdphoto" Target="../media/hdphoto7.wdp"/><Relationship Id="rId34" Type="http://schemas.openxmlformats.org/officeDocument/2006/relationships/hyperlink" Target="#Carga!A1"/><Relationship Id="rId7" Type="http://schemas.openxmlformats.org/officeDocument/2006/relationships/hyperlink" Target="#Configura&#231;&#227;o!A1"/><Relationship Id="rId12" Type="http://schemas.microsoft.com/office/2007/relationships/hdphoto" Target="../media/hdphoto4.wdp"/><Relationship Id="rId17" Type="http://schemas.openxmlformats.org/officeDocument/2006/relationships/image" Target="../media/image12.png"/><Relationship Id="rId25" Type="http://schemas.openxmlformats.org/officeDocument/2006/relationships/hyperlink" Target="#Relat&#243;rio!A1"/><Relationship Id="rId33" Type="http://schemas.microsoft.com/office/2007/relationships/hdphoto" Target="../media/hdphoto14.wdp"/><Relationship Id="rId2" Type="http://schemas.openxmlformats.org/officeDocument/2006/relationships/image" Target="../media/image5.png"/><Relationship Id="rId16" Type="http://schemas.openxmlformats.org/officeDocument/2006/relationships/hyperlink" Target="#Z_Barra_1_2!A1"/><Relationship Id="rId20" Type="http://schemas.openxmlformats.org/officeDocument/2006/relationships/image" Target="../media/image11.png"/><Relationship Id="rId29" Type="http://schemas.openxmlformats.org/officeDocument/2006/relationships/image" Target="../media/image31.png"/><Relationship Id="rId1" Type="http://schemas.openxmlformats.org/officeDocument/2006/relationships/hyperlink" Target="#Barra!A1"/><Relationship Id="rId6" Type="http://schemas.microsoft.com/office/2007/relationships/hdphoto" Target="../media/hdphoto2.wdp"/><Relationship Id="rId11" Type="http://schemas.openxmlformats.org/officeDocument/2006/relationships/image" Target="../media/image8.png"/><Relationship Id="rId24" Type="http://schemas.microsoft.com/office/2007/relationships/hdphoto" Target="../media/hdphoto20.wdp"/><Relationship Id="rId32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microsoft.com/office/2007/relationships/hdphoto" Target="../media/hdphoto19.wdp"/><Relationship Id="rId23" Type="http://schemas.openxmlformats.org/officeDocument/2006/relationships/image" Target="../media/image33.png"/><Relationship Id="rId28" Type="http://schemas.openxmlformats.org/officeDocument/2006/relationships/hyperlink" Target="#'Diagrama El&#233;trico'!A1"/><Relationship Id="rId10" Type="http://schemas.openxmlformats.org/officeDocument/2006/relationships/hyperlink" Target="#Maquina!A1"/><Relationship Id="rId19" Type="http://schemas.openxmlformats.org/officeDocument/2006/relationships/hyperlink" Target="#Y_Barra_0!A1"/><Relationship Id="rId31" Type="http://schemas.openxmlformats.org/officeDocument/2006/relationships/hyperlink" Target="#'Linha'!A1"/><Relationship Id="rId4" Type="http://schemas.openxmlformats.org/officeDocument/2006/relationships/hyperlink" Target="#Transformador!A1"/><Relationship Id="rId9" Type="http://schemas.microsoft.com/office/2007/relationships/hdphoto" Target="../media/hdphoto11.wdp"/><Relationship Id="rId14" Type="http://schemas.openxmlformats.org/officeDocument/2006/relationships/image" Target="../media/image32.png"/><Relationship Id="rId22" Type="http://schemas.openxmlformats.org/officeDocument/2006/relationships/hyperlink" Target="#Z_Barra_0!A1"/><Relationship Id="rId27" Type="http://schemas.microsoft.com/office/2007/relationships/hdphoto" Target="../media/hdphoto17.wdp"/><Relationship Id="rId30" Type="http://schemas.microsoft.com/office/2007/relationships/hdphoto" Target="../media/hdphoto18.wdp"/><Relationship Id="rId8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#Y_Barra_1_2!A1"/><Relationship Id="rId18" Type="http://schemas.microsoft.com/office/2007/relationships/hdphoto" Target="../media/hdphoto16.wdp"/><Relationship Id="rId26" Type="http://schemas.openxmlformats.org/officeDocument/2006/relationships/image" Target="../media/image30.png"/><Relationship Id="rId3" Type="http://schemas.microsoft.com/office/2007/relationships/hdphoto" Target="../media/hdphoto1.wdp"/><Relationship Id="rId21" Type="http://schemas.microsoft.com/office/2007/relationships/hdphoto" Target="../media/hdphoto22.wdp"/><Relationship Id="rId7" Type="http://schemas.openxmlformats.org/officeDocument/2006/relationships/hyperlink" Target="#Configura&#231;&#227;o!A1"/><Relationship Id="rId12" Type="http://schemas.microsoft.com/office/2007/relationships/hdphoto" Target="../media/hdphoto4.wdp"/><Relationship Id="rId17" Type="http://schemas.openxmlformats.org/officeDocument/2006/relationships/image" Target="../media/image29.png"/><Relationship Id="rId25" Type="http://schemas.openxmlformats.org/officeDocument/2006/relationships/hyperlink" Target="#Relat&#243;rio!A1"/><Relationship Id="rId33" Type="http://schemas.openxmlformats.org/officeDocument/2006/relationships/hyperlink" Target="#Carga!A1"/><Relationship Id="rId2" Type="http://schemas.openxmlformats.org/officeDocument/2006/relationships/image" Target="../media/image5.png"/><Relationship Id="rId16" Type="http://schemas.openxmlformats.org/officeDocument/2006/relationships/hyperlink" Target="#Z_Barra_1_2!A1"/><Relationship Id="rId20" Type="http://schemas.openxmlformats.org/officeDocument/2006/relationships/image" Target="../media/image35.png"/><Relationship Id="rId29" Type="http://schemas.openxmlformats.org/officeDocument/2006/relationships/image" Target="../media/image31.png"/><Relationship Id="rId1" Type="http://schemas.openxmlformats.org/officeDocument/2006/relationships/hyperlink" Target="#Barra!A1"/><Relationship Id="rId6" Type="http://schemas.microsoft.com/office/2007/relationships/hdphoto" Target="../media/hdphoto21.wdp"/><Relationship Id="rId11" Type="http://schemas.openxmlformats.org/officeDocument/2006/relationships/image" Target="../media/image8.png"/><Relationship Id="rId24" Type="http://schemas.microsoft.com/office/2007/relationships/hdphoto" Target="../media/hdphoto20.wdp"/><Relationship Id="rId32" Type="http://schemas.openxmlformats.org/officeDocument/2006/relationships/image" Target="../media/image18.png"/><Relationship Id="rId5" Type="http://schemas.openxmlformats.org/officeDocument/2006/relationships/image" Target="../media/image34.png"/><Relationship Id="rId15" Type="http://schemas.microsoft.com/office/2007/relationships/hdphoto" Target="../media/hdphoto19.wdp"/><Relationship Id="rId23" Type="http://schemas.openxmlformats.org/officeDocument/2006/relationships/image" Target="../media/image33.png"/><Relationship Id="rId28" Type="http://schemas.openxmlformats.org/officeDocument/2006/relationships/hyperlink" Target="#'Diagrama El&#233;trico'!A1"/><Relationship Id="rId10" Type="http://schemas.openxmlformats.org/officeDocument/2006/relationships/hyperlink" Target="#Maquina!A1"/><Relationship Id="rId19" Type="http://schemas.openxmlformats.org/officeDocument/2006/relationships/hyperlink" Target="#Y_Barra_0!A1"/><Relationship Id="rId31" Type="http://schemas.openxmlformats.org/officeDocument/2006/relationships/hyperlink" Target="#Transformador!A1"/><Relationship Id="rId4" Type="http://schemas.openxmlformats.org/officeDocument/2006/relationships/hyperlink" Target="#'Linha'!A1"/><Relationship Id="rId9" Type="http://schemas.microsoft.com/office/2007/relationships/hdphoto" Target="../media/hdphoto11.wdp"/><Relationship Id="rId14" Type="http://schemas.openxmlformats.org/officeDocument/2006/relationships/image" Target="../media/image32.png"/><Relationship Id="rId22" Type="http://schemas.openxmlformats.org/officeDocument/2006/relationships/hyperlink" Target="#Z_Barra_0!A1"/><Relationship Id="rId27" Type="http://schemas.microsoft.com/office/2007/relationships/hdphoto" Target="../media/hdphoto17.wdp"/><Relationship Id="rId30" Type="http://schemas.microsoft.com/office/2007/relationships/hdphoto" Target="../media/hdphoto18.wdp"/><Relationship Id="rId8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Y_Barra_1_2!A1"/><Relationship Id="rId18" Type="http://schemas.microsoft.com/office/2007/relationships/hdphoto" Target="../media/hdphoto16.wdp"/><Relationship Id="rId26" Type="http://schemas.openxmlformats.org/officeDocument/2006/relationships/image" Target="../media/image30.png"/><Relationship Id="rId3" Type="http://schemas.microsoft.com/office/2007/relationships/hdphoto" Target="../media/hdphoto1.wdp"/><Relationship Id="rId21" Type="http://schemas.microsoft.com/office/2007/relationships/hdphoto" Target="../media/hdphoto7.wdp"/><Relationship Id="rId7" Type="http://schemas.openxmlformats.org/officeDocument/2006/relationships/hyperlink" Target="#Transformador!A1"/><Relationship Id="rId12" Type="http://schemas.microsoft.com/office/2007/relationships/hdphoto" Target="../media/hdphoto11.wdp"/><Relationship Id="rId17" Type="http://schemas.openxmlformats.org/officeDocument/2006/relationships/image" Target="../media/image29.png"/><Relationship Id="rId25" Type="http://schemas.openxmlformats.org/officeDocument/2006/relationships/hyperlink" Target="#Relat&#243;rio!A1"/><Relationship Id="rId33" Type="http://schemas.openxmlformats.org/officeDocument/2006/relationships/hyperlink" Target="#Carga!A1"/><Relationship Id="rId2" Type="http://schemas.openxmlformats.org/officeDocument/2006/relationships/image" Target="../media/image5.png"/><Relationship Id="rId16" Type="http://schemas.openxmlformats.org/officeDocument/2006/relationships/hyperlink" Target="#Z_Barra_1_2!A1"/><Relationship Id="rId20" Type="http://schemas.openxmlformats.org/officeDocument/2006/relationships/image" Target="../media/image11.png"/><Relationship Id="rId29" Type="http://schemas.openxmlformats.org/officeDocument/2006/relationships/image" Target="../media/image31.png"/><Relationship Id="rId1" Type="http://schemas.openxmlformats.org/officeDocument/2006/relationships/hyperlink" Target="#Barra!A1"/><Relationship Id="rId6" Type="http://schemas.microsoft.com/office/2007/relationships/hdphoto" Target="../media/hdphoto23.wdp"/><Relationship Id="rId11" Type="http://schemas.openxmlformats.org/officeDocument/2006/relationships/image" Target="../media/image16.png"/><Relationship Id="rId24" Type="http://schemas.microsoft.com/office/2007/relationships/hdphoto" Target="../media/hdphoto8.wdp"/><Relationship Id="rId32" Type="http://schemas.openxmlformats.org/officeDocument/2006/relationships/image" Target="../media/image20.png"/><Relationship Id="rId5" Type="http://schemas.openxmlformats.org/officeDocument/2006/relationships/image" Target="../media/image36.png"/><Relationship Id="rId15" Type="http://schemas.microsoft.com/office/2007/relationships/hdphoto" Target="../media/hdphoto6.wdp"/><Relationship Id="rId23" Type="http://schemas.openxmlformats.org/officeDocument/2006/relationships/image" Target="../media/image12.png"/><Relationship Id="rId28" Type="http://schemas.openxmlformats.org/officeDocument/2006/relationships/hyperlink" Target="#'Diagrama El&#233;trico'!A1"/><Relationship Id="rId10" Type="http://schemas.openxmlformats.org/officeDocument/2006/relationships/hyperlink" Target="#Configura&#231;&#227;o!A1"/><Relationship Id="rId19" Type="http://schemas.openxmlformats.org/officeDocument/2006/relationships/hyperlink" Target="#Y_Barra_0!A1"/><Relationship Id="rId31" Type="http://schemas.openxmlformats.org/officeDocument/2006/relationships/hyperlink" Target="#Gerador!A1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10.png"/><Relationship Id="rId22" Type="http://schemas.openxmlformats.org/officeDocument/2006/relationships/hyperlink" Target="#Z_Barra_0!A1"/><Relationship Id="rId27" Type="http://schemas.microsoft.com/office/2007/relationships/hdphoto" Target="../media/hdphoto17.wdp"/><Relationship Id="rId30" Type="http://schemas.microsoft.com/office/2007/relationships/hdphoto" Target="../media/hdphoto18.wdp"/><Relationship Id="rId8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Maquina!A1"/><Relationship Id="rId18" Type="http://schemas.microsoft.com/office/2007/relationships/hdphoto" Target="../media/hdphoto6.wdp"/><Relationship Id="rId26" Type="http://schemas.openxmlformats.org/officeDocument/2006/relationships/image" Target="../media/image12.png"/><Relationship Id="rId3" Type="http://schemas.microsoft.com/office/2007/relationships/hdphoto" Target="../media/hdphoto1.wdp"/><Relationship Id="rId21" Type="http://schemas.microsoft.com/office/2007/relationships/hdphoto" Target="../media/hdphoto16.wdp"/><Relationship Id="rId7" Type="http://schemas.openxmlformats.org/officeDocument/2006/relationships/hyperlink" Target="#Transformador!A1"/><Relationship Id="rId12" Type="http://schemas.microsoft.com/office/2007/relationships/hdphoto" Target="../media/hdphoto11.wdp"/><Relationship Id="rId17" Type="http://schemas.openxmlformats.org/officeDocument/2006/relationships/image" Target="../media/image10.png"/><Relationship Id="rId25" Type="http://schemas.openxmlformats.org/officeDocument/2006/relationships/hyperlink" Target="#Z_Barra_0!A1"/><Relationship Id="rId33" Type="http://schemas.microsoft.com/office/2007/relationships/hdphoto" Target="../media/hdphoto24.wdp"/><Relationship Id="rId2" Type="http://schemas.openxmlformats.org/officeDocument/2006/relationships/image" Target="../media/image5.png"/><Relationship Id="rId16" Type="http://schemas.openxmlformats.org/officeDocument/2006/relationships/hyperlink" Target="#Y_Barra_1_2!A1"/><Relationship Id="rId20" Type="http://schemas.openxmlformats.org/officeDocument/2006/relationships/image" Target="../media/image29.png"/><Relationship Id="rId29" Type="http://schemas.openxmlformats.org/officeDocument/2006/relationships/image" Target="../media/image30.png"/><Relationship Id="rId1" Type="http://schemas.openxmlformats.org/officeDocument/2006/relationships/hyperlink" Target="#Barra!A1"/><Relationship Id="rId6" Type="http://schemas.microsoft.com/office/2007/relationships/hdphoto" Target="../media/hdphoto3.wdp"/><Relationship Id="rId11" Type="http://schemas.openxmlformats.org/officeDocument/2006/relationships/image" Target="../media/image16.png"/><Relationship Id="rId24" Type="http://schemas.microsoft.com/office/2007/relationships/hdphoto" Target="../media/hdphoto7.wdp"/><Relationship Id="rId32" Type="http://schemas.openxmlformats.org/officeDocument/2006/relationships/image" Target="../media/image37.png"/><Relationship Id="rId5" Type="http://schemas.openxmlformats.org/officeDocument/2006/relationships/image" Target="../media/image7.png"/><Relationship Id="rId15" Type="http://schemas.microsoft.com/office/2007/relationships/hdphoto" Target="../media/hdphoto4.wdp"/><Relationship Id="rId23" Type="http://schemas.openxmlformats.org/officeDocument/2006/relationships/image" Target="../media/image11.png"/><Relationship Id="rId28" Type="http://schemas.openxmlformats.org/officeDocument/2006/relationships/hyperlink" Target="#Relat&#243;rio!A1"/><Relationship Id="rId10" Type="http://schemas.openxmlformats.org/officeDocument/2006/relationships/hyperlink" Target="#Configura&#231;&#227;o!A1"/><Relationship Id="rId19" Type="http://schemas.openxmlformats.org/officeDocument/2006/relationships/hyperlink" Target="#Z_Barra_1_2!A1"/><Relationship Id="rId31" Type="http://schemas.openxmlformats.org/officeDocument/2006/relationships/hyperlink" Target="#'Diagrama El&#233;trico'!A1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hyperlink" Target="#Y_Barra_0!A1"/><Relationship Id="rId27" Type="http://schemas.microsoft.com/office/2007/relationships/hdphoto" Target="../media/hdphoto8.wdp"/><Relationship Id="rId30" Type="http://schemas.microsoft.com/office/2007/relationships/hdphoto" Target="../media/hdphoto17.wdp"/><Relationship Id="rId8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Maquina!A1"/><Relationship Id="rId18" Type="http://schemas.microsoft.com/office/2007/relationships/hdphoto" Target="../media/hdphoto16.wdp"/><Relationship Id="rId26" Type="http://schemas.openxmlformats.org/officeDocument/2006/relationships/image" Target="../media/image30.png"/><Relationship Id="rId3" Type="http://schemas.microsoft.com/office/2007/relationships/hdphoto" Target="../media/hdphoto1.wdp"/><Relationship Id="rId21" Type="http://schemas.microsoft.com/office/2007/relationships/hdphoto" Target="../media/hdphoto7.wdp"/><Relationship Id="rId7" Type="http://schemas.openxmlformats.org/officeDocument/2006/relationships/hyperlink" Target="#Transformador!A1"/><Relationship Id="rId12" Type="http://schemas.microsoft.com/office/2007/relationships/hdphoto" Target="../media/hdphoto11.wdp"/><Relationship Id="rId17" Type="http://schemas.openxmlformats.org/officeDocument/2006/relationships/image" Target="../media/image29.png"/><Relationship Id="rId25" Type="http://schemas.openxmlformats.org/officeDocument/2006/relationships/hyperlink" Target="#Relat&#243;rio!A1"/><Relationship Id="rId2" Type="http://schemas.openxmlformats.org/officeDocument/2006/relationships/image" Target="../media/image5.png"/><Relationship Id="rId16" Type="http://schemas.openxmlformats.org/officeDocument/2006/relationships/hyperlink" Target="#Z_Barra_1_2!A1"/><Relationship Id="rId20" Type="http://schemas.openxmlformats.org/officeDocument/2006/relationships/image" Target="../media/image11.png"/><Relationship Id="rId29" Type="http://schemas.openxmlformats.org/officeDocument/2006/relationships/image" Target="../media/image37.png"/><Relationship Id="rId1" Type="http://schemas.openxmlformats.org/officeDocument/2006/relationships/hyperlink" Target="#Barra!A1"/><Relationship Id="rId6" Type="http://schemas.microsoft.com/office/2007/relationships/hdphoto" Target="../media/hdphoto3.wdp"/><Relationship Id="rId11" Type="http://schemas.openxmlformats.org/officeDocument/2006/relationships/image" Target="../media/image16.png"/><Relationship Id="rId24" Type="http://schemas.microsoft.com/office/2007/relationships/hdphoto" Target="../media/hdphoto8.wdp"/><Relationship Id="rId32" Type="http://schemas.openxmlformats.org/officeDocument/2006/relationships/image" Target="../media/image21.png"/><Relationship Id="rId5" Type="http://schemas.openxmlformats.org/officeDocument/2006/relationships/image" Target="../media/image7.png"/><Relationship Id="rId15" Type="http://schemas.microsoft.com/office/2007/relationships/hdphoto" Target="../media/hdphoto4.wdp"/><Relationship Id="rId23" Type="http://schemas.openxmlformats.org/officeDocument/2006/relationships/image" Target="../media/image12.png"/><Relationship Id="rId28" Type="http://schemas.openxmlformats.org/officeDocument/2006/relationships/hyperlink" Target="#'Diagrama El&#233;trico'!A1"/><Relationship Id="rId10" Type="http://schemas.openxmlformats.org/officeDocument/2006/relationships/hyperlink" Target="#Configura&#231;&#227;o!A1"/><Relationship Id="rId19" Type="http://schemas.openxmlformats.org/officeDocument/2006/relationships/hyperlink" Target="#Y_Barra_0!A1"/><Relationship Id="rId31" Type="http://schemas.openxmlformats.org/officeDocument/2006/relationships/hyperlink" Target="#Carga!A1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hyperlink" Target="#Z_Barra_0!A1"/><Relationship Id="rId27" Type="http://schemas.microsoft.com/office/2007/relationships/hdphoto" Target="../media/hdphoto17.wdp"/><Relationship Id="rId30" Type="http://schemas.microsoft.com/office/2007/relationships/hdphoto" Target="../media/hdphoto24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Maquina!A1"/><Relationship Id="rId18" Type="http://schemas.microsoft.com/office/2007/relationships/hdphoto" Target="../media/hdphoto7.wdp"/><Relationship Id="rId26" Type="http://schemas.openxmlformats.org/officeDocument/2006/relationships/image" Target="../media/image37.png"/><Relationship Id="rId3" Type="http://schemas.microsoft.com/office/2007/relationships/hdphoto" Target="../media/hdphoto1.wdp"/><Relationship Id="rId21" Type="http://schemas.microsoft.com/office/2007/relationships/hdphoto" Target="../media/hdphoto8.wdp"/><Relationship Id="rId7" Type="http://schemas.openxmlformats.org/officeDocument/2006/relationships/hyperlink" Target="#Transformador!A1"/><Relationship Id="rId12" Type="http://schemas.microsoft.com/office/2007/relationships/hdphoto" Target="../media/hdphoto11.wdp"/><Relationship Id="rId17" Type="http://schemas.openxmlformats.org/officeDocument/2006/relationships/image" Target="../media/image11.png"/><Relationship Id="rId25" Type="http://schemas.openxmlformats.org/officeDocument/2006/relationships/hyperlink" Target="#'Diagrama El&#233;trico'!A1"/><Relationship Id="rId2" Type="http://schemas.openxmlformats.org/officeDocument/2006/relationships/image" Target="../media/image5.png"/><Relationship Id="rId16" Type="http://schemas.openxmlformats.org/officeDocument/2006/relationships/hyperlink" Target="#Y_Barra_0!A1"/><Relationship Id="rId20" Type="http://schemas.openxmlformats.org/officeDocument/2006/relationships/image" Target="../media/image12.png"/><Relationship Id="rId29" Type="http://schemas.openxmlformats.org/officeDocument/2006/relationships/hyperlink" Target="#Y_Barra_1_2!A1"/><Relationship Id="rId1" Type="http://schemas.openxmlformats.org/officeDocument/2006/relationships/hyperlink" Target="#Barra!A1"/><Relationship Id="rId6" Type="http://schemas.microsoft.com/office/2007/relationships/hdphoto" Target="../media/hdphoto3.wdp"/><Relationship Id="rId11" Type="http://schemas.openxmlformats.org/officeDocument/2006/relationships/image" Target="../media/image16.png"/><Relationship Id="rId24" Type="http://schemas.microsoft.com/office/2007/relationships/hdphoto" Target="../media/hdphoto17.wdp"/><Relationship Id="rId32" Type="http://schemas.openxmlformats.org/officeDocument/2006/relationships/image" Target="../media/image21.png"/><Relationship Id="rId5" Type="http://schemas.openxmlformats.org/officeDocument/2006/relationships/image" Target="../media/image7.png"/><Relationship Id="rId15" Type="http://schemas.microsoft.com/office/2007/relationships/hdphoto" Target="../media/hdphoto4.wdp"/><Relationship Id="rId23" Type="http://schemas.openxmlformats.org/officeDocument/2006/relationships/image" Target="../media/image30.png"/><Relationship Id="rId28" Type="http://schemas.openxmlformats.org/officeDocument/2006/relationships/hyperlink" Target="#Carga!A1"/><Relationship Id="rId10" Type="http://schemas.openxmlformats.org/officeDocument/2006/relationships/hyperlink" Target="#Configura&#231;&#227;o!A1"/><Relationship Id="rId19" Type="http://schemas.openxmlformats.org/officeDocument/2006/relationships/hyperlink" Target="#Z_Barra_0!A1"/><Relationship Id="rId31" Type="http://schemas.microsoft.com/office/2007/relationships/hdphoto" Target="../media/hdphoto6.wdp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hyperlink" Target="#Relat&#243;rio!A1"/><Relationship Id="rId27" Type="http://schemas.microsoft.com/office/2007/relationships/hdphoto" Target="../media/hdphoto24.wdp"/><Relationship Id="rId30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Maquina!A1"/><Relationship Id="rId18" Type="http://schemas.microsoft.com/office/2007/relationships/hdphoto" Target="../media/hdphoto8.wdp"/><Relationship Id="rId26" Type="http://schemas.openxmlformats.org/officeDocument/2006/relationships/hyperlink" Target="#Y_Barra_1_2!A1"/><Relationship Id="rId3" Type="http://schemas.microsoft.com/office/2007/relationships/hdphoto" Target="../media/hdphoto1.wdp"/><Relationship Id="rId21" Type="http://schemas.microsoft.com/office/2007/relationships/hdphoto" Target="../media/hdphoto17.wdp"/><Relationship Id="rId7" Type="http://schemas.openxmlformats.org/officeDocument/2006/relationships/hyperlink" Target="#Transformador!A1"/><Relationship Id="rId12" Type="http://schemas.microsoft.com/office/2007/relationships/hdphoto" Target="../media/hdphoto11.wdp"/><Relationship Id="rId17" Type="http://schemas.openxmlformats.org/officeDocument/2006/relationships/image" Target="../media/image12.png"/><Relationship Id="rId25" Type="http://schemas.openxmlformats.org/officeDocument/2006/relationships/hyperlink" Target="#Carga!A1"/><Relationship Id="rId2" Type="http://schemas.openxmlformats.org/officeDocument/2006/relationships/image" Target="../media/image5.png"/><Relationship Id="rId16" Type="http://schemas.openxmlformats.org/officeDocument/2006/relationships/hyperlink" Target="#Z_Barra_0!A1"/><Relationship Id="rId20" Type="http://schemas.openxmlformats.org/officeDocument/2006/relationships/image" Target="../media/image30.png"/><Relationship Id="rId29" Type="http://schemas.openxmlformats.org/officeDocument/2006/relationships/hyperlink" Target="#Z_Barra_1_2!A1"/><Relationship Id="rId1" Type="http://schemas.openxmlformats.org/officeDocument/2006/relationships/hyperlink" Target="#Barra!A1"/><Relationship Id="rId6" Type="http://schemas.microsoft.com/office/2007/relationships/hdphoto" Target="../media/hdphoto3.wdp"/><Relationship Id="rId11" Type="http://schemas.openxmlformats.org/officeDocument/2006/relationships/image" Target="../media/image16.png"/><Relationship Id="rId24" Type="http://schemas.microsoft.com/office/2007/relationships/hdphoto" Target="../media/hdphoto24.wdp"/><Relationship Id="rId32" Type="http://schemas.openxmlformats.org/officeDocument/2006/relationships/image" Target="../media/image22.png"/><Relationship Id="rId5" Type="http://schemas.openxmlformats.org/officeDocument/2006/relationships/image" Target="../media/image7.png"/><Relationship Id="rId15" Type="http://schemas.microsoft.com/office/2007/relationships/hdphoto" Target="../media/hdphoto4.wdp"/><Relationship Id="rId23" Type="http://schemas.openxmlformats.org/officeDocument/2006/relationships/image" Target="../media/image37.png"/><Relationship Id="rId28" Type="http://schemas.microsoft.com/office/2007/relationships/hdphoto" Target="../media/hdphoto6.wdp"/><Relationship Id="rId10" Type="http://schemas.openxmlformats.org/officeDocument/2006/relationships/hyperlink" Target="#Configura&#231;&#227;o!A1"/><Relationship Id="rId19" Type="http://schemas.openxmlformats.org/officeDocument/2006/relationships/hyperlink" Target="#Relat&#243;rio!A1"/><Relationship Id="rId31" Type="http://schemas.microsoft.com/office/2007/relationships/hdphoto" Target="../media/hdphoto16.wdp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hyperlink" Target="#'Diagrama El&#233;trico'!A1"/><Relationship Id="rId27" Type="http://schemas.openxmlformats.org/officeDocument/2006/relationships/image" Target="../media/image10.png"/><Relationship Id="rId30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Maquina!A1"/><Relationship Id="rId18" Type="http://schemas.microsoft.com/office/2007/relationships/hdphoto" Target="../media/hdphoto17.wdp"/><Relationship Id="rId26" Type="http://schemas.openxmlformats.org/officeDocument/2006/relationships/hyperlink" Target="#Z_Barra_1_2!A1"/><Relationship Id="rId3" Type="http://schemas.microsoft.com/office/2007/relationships/hdphoto" Target="../media/hdphoto1.wdp"/><Relationship Id="rId21" Type="http://schemas.microsoft.com/office/2007/relationships/hdphoto" Target="../media/hdphoto24.wdp"/><Relationship Id="rId7" Type="http://schemas.openxmlformats.org/officeDocument/2006/relationships/hyperlink" Target="#Transformador!A1"/><Relationship Id="rId12" Type="http://schemas.microsoft.com/office/2007/relationships/hdphoto" Target="../media/hdphoto11.wdp"/><Relationship Id="rId17" Type="http://schemas.openxmlformats.org/officeDocument/2006/relationships/image" Target="../media/image30.png"/><Relationship Id="rId25" Type="http://schemas.microsoft.com/office/2007/relationships/hdphoto" Target="../media/hdphoto6.wdp"/><Relationship Id="rId2" Type="http://schemas.openxmlformats.org/officeDocument/2006/relationships/image" Target="../media/image5.png"/><Relationship Id="rId16" Type="http://schemas.openxmlformats.org/officeDocument/2006/relationships/hyperlink" Target="#Relat&#243;rio!A1"/><Relationship Id="rId20" Type="http://schemas.openxmlformats.org/officeDocument/2006/relationships/image" Target="../media/image37.png"/><Relationship Id="rId29" Type="http://schemas.openxmlformats.org/officeDocument/2006/relationships/hyperlink" Target="#Y_Barra_0!A1"/><Relationship Id="rId1" Type="http://schemas.openxmlformats.org/officeDocument/2006/relationships/hyperlink" Target="#Barra!A1"/><Relationship Id="rId6" Type="http://schemas.microsoft.com/office/2007/relationships/hdphoto" Target="../media/hdphoto3.wdp"/><Relationship Id="rId11" Type="http://schemas.openxmlformats.org/officeDocument/2006/relationships/image" Target="../media/image16.png"/><Relationship Id="rId24" Type="http://schemas.openxmlformats.org/officeDocument/2006/relationships/image" Target="../media/image10.png"/><Relationship Id="rId32" Type="http://schemas.openxmlformats.org/officeDocument/2006/relationships/image" Target="../media/image22.png"/><Relationship Id="rId5" Type="http://schemas.openxmlformats.org/officeDocument/2006/relationships/image" Target="../media/image7.png"/><Relationship Id="rId15" Type="http://schemas.microsoft.com/office/2007/relationships/hdphoto" Target="../media/hdphoto4.wdp"/><Relationship Id="rId23" Type="http://schemas.openxmlformats.org/officeDocument/2006/relationships/hyperlink" Target="#Y_Barra_1_2!A1"/><Relationship Id="rId28" Type="http://schemas.microsoft.com/office/2007/relationships/hdphoto" Target="../media/hdphoto16.wdp"/><Relationship Id="rId10" Type="http://schemas.openxmlformats.org/officeDocument/2006/relationships/hyperlink" Target="#Configura&#231;&#227;o!A1"/><Relationship Id="rId19" Type="http://schemas.openxmlformats.org/officeDocument/2006/relationships/hyperlink" Target="#'Diagrama El&#233;trico'!A1"/><Relationship Id="rId31" Type="http://schemas.microsoft.com/office/2007/relationships/hdphoto" Target="../media/hdphoto7.wdp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hyperlink" Target="#Carga!A1"/><Relationship Id="rId27" Type="http://schemas.openxmlformats.org/officeDocument/2006/relationships/image" Target="../media/image29.png"/><Relationship Id="rId30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Maquina!A1"/><Relationship Id="rId18" Type="http://schemas.microsoft.com/office/2007/relationships/hdphoto" Target="../media/hdphoto24.wdp"/><Relationship Id="rId26" Type="http://schemas.openxmlformats.org/officeDocument/2006/relationships/hyperlink" Target="#Y_Barra_0!A1"/><Relationship Id="rId3" Type="http://schemas.microsoft.com/office/2007/relationships/hdphoto" Target="../media/hdphoto1.wdp"/><Relationship Id="rId21" Type="http://schemas.openxmlformats.org/officeDocument/2006/relationships/image" Target="../media/image10.png"/><Relationship Id="rId7" Type="http://schemas.openxmlformats.org/officeDocument/2006/relationships/hyperlink" Target="#Transformador!A1"/><Relationship Id="rId12" Type="http://schemas.microsoft.com/office/2007/relationships/hdphoto" Target="../media/hdphoto11.wdp"/><Relationship Id="rId17" Type="http://schemas.openxmlformats.org/officeDocument/2006/relationships/image" Target="../media/image37.png"/><Relationship Id="rId25" Type="http://schemas.microsoft.com/office/2007/relationships/hdphoto" Target="../media/hdphoto26.wdp"/><Relationship Id="rId2" Type="http://schemas.openxmlformats.org/officeDocument/2006/relationships/image" Target="../media/image5.png"/><Relationship Id="rId16" Type="http://schemas.openxmlformats.org/officeDocument/2006/relationships/hyperlink" Target="#'Diagrama El&#233;trico'!A1"/><Relationship Id="rId20" Type="http://schemas.openxmlformats.org/officeDocument/2006/relationships/hyperlink" Target="#Y_Barra_1_2!A1"/><Relationship Id="rId29" Type="http://schemas.openxmlformats.org/officeDocument/2006/relationships/hyperlink" Target="#Z_Barra_0!A1"/><Relationship Id="rId1" Type="http://schemas.openxmlformats.org/officeDocument/2006/relationships/hyperlink" Target="#Barra!A1"/><Relationship Id="rId6" Type="http://schemas.microsoft.com/office/2007/relationships/hdphoto" Target="../media/hdphoto3.wdp"/><Relationship Id="rId11" Type="http://schemas.openxmlformats.org/officeDocument/2006/relationships/image" Target="../media/image16.png"/><Relationship Id="rId24" Type="http://schemas.openxmlformats.org/officeDocument/2006/relationships/image" Target="../media/image39.png"/><Relationship Id="rId32" Type="http://schemas.openxmlformats.org/officeDocument/2006/relationships/image" Target="../media/image23.png"/><Relationship Id="rId5" Type="http://schemas.openxmlformats.org/officeDocument/2006/relationships/image" Target="../media/image7.png"/><Relationship Id="rId15" Type="http://schemas.microsoft.com/office/2007/relationships/hdphoto" Target="../media/hdphoto25.wdp"/><Relationship Id="rId23" Type="http://schemas.openxmlformats.org/officeDocument/2006/relationships/hyperlink" Target="#Z_Barra_1_2!A1"/><Relationship Id="rId28" Type="http://schemas.microsoft.com/office/2007/relationships/hdphoto" Target="../media/hdphoto7.wdp"/><Relationship Id="rId10" Type="http://schemas.openxmlformats.org/officeDocument/2006/relationships/hyperlink" Target="#Configura&#231;&#227;o!A1"/><Relationship Id="rId19" Type="http://schemas.openxmlformats.org/officeDocument/2006/relationships/hyperlink" Target="#Carga!A1"/><Relationship Id="rId31" Type="http://schemas.microsoft.com/office/2007/relationships/hdphoto" Target="../media/hdphoto8.wdp"/><Relationship Id="rId4" Type="http://schemas.openxmlformats.org/officeDocument/2006/relationships/hyperlink" Target="#'Linha'!A1"/><Relationship Id="rId9" Type="http://schemas.microsoft.com/office/2007/relationships/hdphoto" Target="../media/hdphoto2.wdp"/><Relationship Id="rId14" Type="http://schemas.openxmlformats.org/officeDocument/2006/relationships/image" Target="../media/image38.png"/><Relationship Id="rId22" Type="http://schemas.microsoft.com/office/2007/relationships/hdphoto" Target="../media/hdphoto6.wdp"/><Relationship Id="rId27" Type="http://schemas.openxmlformats.org/officeDocument/2006/relationships/image" Target="../media/image11.png"/><Relationship Id="rId30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hyperlink" Target="#Y_Barra_1_2!A1"/><Relationship Id="rId18" Type="http://schemas.microsoft.com/office/2007/relationships/hdphoto" Target="../media/hdphoto16.wdp"/><Relationship Id="rId26" Type="http://schemas.openxmlformats.org/officeDocument/2006/relationships/image" Target="../media/image30.png"/><Relationship Id="rId3" Type="http://schemas.microsoft.com/office/2007/relationships/hdphoto" Target="../media/hdphoto1.wdp"/><Relationship Id="rId21" Type="http://schemas.microsoft.com/office/2007/relationships/hdphoto" Target="../media/hdphoto22.wdp"/><Relationship Id="rId7" Type="http://schemas.openxmlformats.org/officeDocument/2006/relationships/hyperlink" Target="#Configura&#231;&#227;o!A1"/><Relationship Id="rId12" Type="http://schemas.microsoft.com/office/2007/relationships/hdphoto" Target="../media/hdphoto4.wdp"/><Relationship Id="rId17" Type="http://schemas.openxmlformats.org/officeDocument/2006/relationships/image" Target="../media/image29.png"/><Relationship Id="rId25" Type="http://schemas.openxmlformats.org/officeDocument/2006/relationships/hyperlink" Target="#Relat&#243;rio!A1"/><Relationship Id="rId33" Type="http://schemas.openxmlformats.org/officeDocument/2006/relationships/hyperlink" Target="#Carga!A1"/><Relationship Id="rId2" Type="http://schemas.openxmlformats.org/officeDocument/2006/relationships/image" Target="../media/image5.png"/><Relationship Id="rId16" Type="http://schemas.openxmlformats.org/officeDocument/2006/relationships/hyperlink" Target="#Z_Barra_1_2!A1"/><Relationship Id="rId20" Type="http://schemas.openxmlformats.org/officeDocument/2006/relationships/image" Target="../media/image35.png"/><Relationship Id="rId29" Type="http://schemas.openxmlformats.org/officeDocument/2006/relationships/image" Target="../media/image31.png"/><Relationship Id="rId1" Type="http://schemas.openxmlformats.org/officeDocument/2006/relationships/hyperlink" Target="#Barra!A1"/><Relationship Id="rId6" Type="http://schemas.microsoft.com/office/2007/relationships/hdphoto" Target="../media/hdphoto21.wdp"/><Relationship Id="rId11" Type="http://schemas.openxmlformats.org/officeDocument/2006/relationships/image" Target="../media/image8.png"/><Relationship Id="rId24" Type="http://schemas.microsoft.com/office/2007/relationships/hdphoto" Target="../media/hdphoto20.wdp"/><Relationship Id="rId32" Type="http://schemas.openxmlformats.org/officeDocument/2006/relationships/image" Target="../media/image18.png"/><Relationship Id="rId5" Type="http://schemas.openxmlformats.org/officeDocument/2006/relationships/image" Target="../media/image34.png"/><Relationship Id="rId15" Type="http://schemas.microsoft.com/office/2007/relationships/hdphoto" Target="../media/hdphoto19.wdp"/><Relationship Id="rId23" Type="http://schemas.openxmlformats.org/officeDocument/2006/relationships/image" Target="../media/image33.png"/><Relationship Id="rId28" Type="http://schemas.openxmlformats.org/officeDocument/2006/relationships/hyperlink" Target="#'Diagrama El&#233;trico'!A1"/><Relationship Id="rId10" Type="http://schemas.openxmlformats.org/officeDocument/2006/relationships/hyperlink" Target="#Maquina!A1"/><Relationship Id="rId19" Type="http://schemas.openxmlformats.org/officeDocument/2006/relationships/hyperlink" Target="#Y_Barra_0!A1"/><Relationship Id="rId31" Type="http://schemas.openxmlformats.org/officeDocument/2006/relationships/hyperlink" Target="#Transformador!A1"/><Relationship Id="rId4" Type="http://schemas.openxmlformats.org/officeDocument/2006/relationships/hyperlink" Target="#'Linha'!A1"/><Relationship Id="rId9" Type="http://schemas.microsoft.com/office/2007/relationships/hdphoto" Target="../media/hdphoto11.wdp"/><Relationship Id="rId14" Type="http://schemas.openxmlformats.org/officeDocument/2006/relationships/image" Target="../media/image32.png"/><Relationship Id="rId22" Type="http://schemas.openxmlformats.org/officeDocument/2006/relationships/hyperlink" Target="#Z_Barra_0!A1"/><Relationship Id="rId27" Type="http://schemas.microsoft.com/office/2007/relationships/hdphoto" Target="../media/hdphoto17.wdp"/><Relationship Id="rId30" Type="http://schemas.microsoft.com/office/2007/relationships/hdphoto" Target="../media/hdphoto18.wdp"/><Relationship Id="rId8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527027</xdr:colOff>
      <xdr:row>1</xdr:row>
      <xdr:rowOff>9720</xdr:rowOff>
    </xdr:from>
    <xdr:ext cx="4741170" cy="483722"/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910E6358-6412-4ECE-9F4E-657871628CA7}"/>
            </a:ext>
          </a:extLst>
        </xdr:cNvPr>
        <xdr:cNvSpPr txBox="1"/>
      </xdr:nvSpPr>
      <xdr:spPr>
        <a:xfrm>
          <a:off x="7337402" y="866970"/>
          <a:ext cx="4741170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Configurações Gerais da Simulação</a:t>
          </a:r>
        </a:p>
      </xdr:txBody>
    </xdr:sp>
    <xdr:clientData/>
  </xdr:oneCellAnchor>
  <xdr:twoCellAnchor editAs="oneCell">
    <xdr:from>
      <xdr:col>9</xdr:col>
      <xdr:colOff>590550</xdr:colOff>
      <xdr:row>0</xdr:row>
      <xdr:rowOff>0</xdr:rowOff>
    </xdr:from>
    <xdr:to>
      <xdr:col>11</xdr:col>
      <xdr:colOff>443617</xdr:colOff>
      <xdr:row>1</xdr:row>
      <xdr:rowOff>2398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2E3E9137-64B2-C3BD-CAAB-28E864DA2C6F}"/>
            </a:ext>
          </a:extLst>
        </xdr:cNvPr>
        <xdr:cNvGrpSpPr/>
      </xdr:nvGrpSpPr>
      <xdr:grpSpPr>
        <a:xfrm>
          <a:off x="6045777" y="0"/>
          <a:ext cx="1065340" cy="868307"/>
          <a:chOff x="7519888" y="-39981"/>
          <a:chExt cx="1083194" cy="910654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62E572E7-9005-F7D7-BEC8-9099CDDF97F7}"/>
              </a:ext>
            </a:extLst>
          </xdr:cNvPr>
          <xdr:cNvSpPr/>
        </xdr:nvSpPr>
        <xdr:spPr>
          <a:xfrm>
            <a:off x="7546045" y="-39981"/>
            <a:ext cx="1030879" cy="910654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DD024D5E-5C8A-712A-A5DB-971EA1611A95}"/>
              </a:ext>
            </a:extLst>
          </xdr:cNvPr>
          <xdr:cNvSpPr txBox="1"/>
        </xdr:nvSpPr>
        <xdr:spPr>
          <a:xfrm>
            <a:off x="7519888" y="528204"/>
            <a:ext cx="1083194" cy="282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rgbClr val="151316"/>
                </a:solidFill>
              </a:rPr>
              <a:t>Configurações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29</xdr:col>
      <xdr:colOff>311782</xdr:colOff>
      <xdr:row>1</xdr:row>
      <xdr:rowOff>4449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6DEFA76A-3D49-F7FB-32C2-9B649B96C412}"/>
            </a:ext>
          </a:extLst>
        </xdr:cNvPr>
        <xdr:cNvGrpSpPr/>
      </xdr:nvGrpSpPr>
      <xdr:grpSpPr>
        <a:xfrm>
          <a:off x="0" y="0"/>
          <a:ext cx="17889737" cy="870358"/>
          <a:chOff x="0" y="0"/>
          <a:chExt cx="17889737" cy="870358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B404B5DD-9040-412C-9214-3073435DE95C}"/>
              </a:ext>
            </a:extLst>
          </xdr:cNvPr>
          <xdr:cNvSpPr/>
        </xdr:nvSpPr>
        <xdr:spPr>
          <a:xfrm>
            <a:off x="0" y="0"/>
            <a:ext cx="2553755" cy="861390"/>
          </a:xfrm>
          <a:prstGeom prst="rect">
            <a:avLst/>
          </a:prstGeom>
          <a:gradFill>
            <a:gsLst>
              <a:gs pos="0">
                <a:srgbClr val="104863">
                  <a:lumMod val="75000"/>
                </a:srgbClr>
              </a:gs>
              <a:gs pos="86000">
                <a:srgbClr val="151316"/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aio 2">
            <a:extLst>
              <a:ext uri="{FF2B5EF4-FFF2-40B4-BE49-F238E27FC236}">
                <a16:creationId xmlns:a16="http://schemas.microsoft.com/office/drawing/2014/main" id="{09D6E854-1F37-4F3D-8D8E-E6E27E7659A9}"/>
              </a:ext>
            </a:extLst>
          </xdr:cNvPr>
          <xdr:cNvSpPr/>
        </xdr:nvSpPr>
        <xdr:spPr>
          <a:xfrm rot="21430735">
            <a:off x="152687" y="44868"/>
            <a:ext cx="652400" cy="699405"/>
          </a:xfrm>
          <a:prstGeom prst="lightningBolt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E5B41BC5-EDE1-4BE3-A0D2-C33E087E4839}"/>
              </a:ext>
            </a:extLst>
          </xdr:cNvPr>
          <xdr:cNvSpPr txBox="1"/>
        </xdr:nvSpPr>
        <xdr:spPr>
          <a:xfrm>
            <a:off x="801192" y="88624"/>
            <a:ext cx="5325718" cy="5932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3200">
                <a:solidFill>
                  <a:schemeClr val="bg1"/>
                </a:solidFill>
              </a:rPr>
              <a:t>Ferramenta de Análise de Curto</a:t>
            </a:r>
          </a:p>
        </xdr:txBody>
      </xdr: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9E9138EC-2A15-4E04-B6AD-2C42B71B4755}"/>
              </a:ext>
            </a:extLst>
          </xdr:cNvPr>
          <xdr:cNvGrpSpPr/>
        </xdr:nvGrpSpPr>
        <xdr:grpSpPr>
          <a:xfrm>
            <a:off x="6949132" y="0"/>
            <a:ext cx="1086973" cy="866259"/>
            <a:chOff x="7411601" y="0"/>
            <a:chExt cx="1097234" cy="870672"/>
          </a:xfrm>
        </xdr:grpSpPr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A1FB259C-5880-7383-160B-247516173F7E}"/>
                </a:ext>
              </a:extLst>
            </xdr:cNvPr>
            <xdr:cNvSpPr/>
          </xdr:nvSpPr>
          <xdr:spPr>
            <a:xfrm>
              <a:off x="7411601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58D9227-8A27-C50F-A7EE-68FF0742E74C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saturation sat="98000"/>
                      </a14:imgEffect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0293" t="14194" r="5651" b="11996"/>
            <a:stretch/>
          </xdr:blipFill>
          <xdr:spPr>
            <a:xfrm>
              <a:off x="7780194" y="73602"/>
              <a:ext cx="515216" cy="450273"/>
            </a:xfrm>
            <a:prstGeom prst="rect">
              <a:avLst/>
            </a:prstGeom>
          </xdr:spPr>
        </xdr:pic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A0D4849F-650D-E688-E724-2269739D7B80}"/>
                </a:ext>
              </a:extLst>
            </xdr:cNvPr>
            <xdr:cNvSpPr txBox="1"/>
          </xdr:nvSpPr>
          <xdr:spPr>
            <a:xfrm>
              <a:off x="7529080" y="528204"/>
              <a:ext cx="979755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Barramentos</a:t>
              </a:r>
            </a:p>
          </xdr:txBody>
        </xdr:sp>
      </xdr:grp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030AAB07-25C0-4110-8040-1203DE493BB5}"/>
              </a:ext>
            </a:extLst>
          </xdr:cNvPr>
          <xdr:cNvGrpSpPr/>
        </xdr:nvGrpSpPr>
        <xdr:grpSpPr>
          <a:xfrm>
            <a:off x="7964945" y="0"/>
            <a:ext cx="1221999" cy="866259"/>
            <a:chOff x="10965361" y="1520405"/>
            <a:chExt cx="1231803" cy="863203"/>
          </a:xfrm>
        </xdr:grpSpPr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EA1773A4-EED6-C1B9-D433-2DC1BA407FAD}"/>
                </a:ext>
              </a:extLst>
            </xdr:cNvPr>
            <xdr:cNvGrpSpPr/>
          </xdr:nvGrpSpPr>
          <xdr:grpSpPr>
            <a:xfrm>
              <a:off x="10965361" y="1520405"/>
              <a:ext cx="1231803" cy="863203"/>
              <a:chOff x="7404233" y="0"/>
              <a:chExt cx="1229457" cy="870672"/>
            </a:xfrm>
          </xdr:grpSpPr>
          <xdr:sp macro="" textlink="">
            <xdr:nvSpPr>
              <xdr:cNvPr id="12" name="Retângulo 11">
                <a:extLst>
                  <a:ext uri="{FF2B5EF4-FFF2-40B4-BE49-F238E27FC236}">
                    <a16:creationId xmlns:a16="http://schemas.microsoft.com/office/drawing/2014/main" id="{F501A4A5-A53A-1ACA-24E0-46CFECEABD8D}"/>
                  </a:ext>
                </a:extLst>
              </xdr:cNvPr>
              <xdr:cNvSpPr/>
            </xdr:nvSpPr>
            <xdr:spPr>
              <a:xfrm>
                <a:off x="7510695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3" name="CaixaDeTexto 12">
                <a:extLst>
                  <a:ext uri="{FF2B5EF4-FFF2-40B4-BE49-F238E27FC236}">
                    <a16:creationId xmlns:a16="http://schemas.microsoft.com/office/drawing/2014/main" id="{53C54950-6AF4-3A77-94FA-5BB042386DCE}"/>
                  </a:ext>
                </a:extLst>
              </xdr:cNvPr>
              <xdr:cNvSpPr txBox="1"/>
            </xdr:nvSpPr>
            <xdr:spPr>
              <a:xfrm>
                <a:off x="7404233" y="528204"/>
                <a:ext cx="1229457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pPr algn="ctr"/>
                <a:r>
                  <a:rPr lang="pt-BR" sz="1200">
                    <a:solidFill>
                      <a:schemeClr val="bg1"/>
                    </a:solidFill>
                  </a:rPr>
                  <a:t>Transformadores</a:t>
                </a:r>
              </a:p>
            </xdr:txBody>
          </xdr:sp>
        </xdr:grpSp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id="{2200ACA5-48C3-4E35-9355-53C4A376C41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9177" t="13563" r="29443" b="12414"/>
            <a:stretch/>
          </xdr:blipFill>
          <xdr:spPr>
            <a:xfrm rot="16200000">
              <a:off x="11410470" y="1476551"/>
              <a:ext cx="341585" cy="705191"/>
            </a:xfrm>
            <a:prstGeom prst="rect">
              <a:avLst/>
            </a:prstGeom>
          </xdr:spPr>
        </xdr:pic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7FBABE2B-AE18-4EFB-8D60-F4C0F82B55E1}"/>
              </a:ext>
            </a:extLst>
          </xdr:cNvPr>
          <xdr:cNvGrpSpPr/>
        </xdr:nvGrpSpPr>
        <xdr:grpSpPr>
          <a:xfrm>
            <a:off x="9115784" y="0"/>
            <a:ext cx="1026551" cy="866259"/>
            <a:chOff x="10249990" y="1546698"/>
            <a:chExt cx="1026770" cy="863203"/>
          </a:xfrm>
        </xdr:grpSpPr>
        <xdr:grpSp>
          <xdr:nvGrpSpPr>
            <xdr:cNvPr id="15" name="Agrupar 14">
              <a:extLst>
                <a:ext uri="{FF2B5EF4-FFF2-40B4-BE49-F238E27FC236}">
                  <a16:creationId xmlns:a16="http://schemas.microsoft.com/office/drawing/2014/main" id="{64B797ED-258B-CAD3-BAF5-AA7F44BB8D05}"/>
                </a:ext>
              </a:extLst>
            </xdr:cNvPr>
            <xdr:cNvGrpSpPr/>
          </xdr:nvGrpSpPr>
          <xdr:grpSpPr>
            <a:xfrm>
              <a:off x="10249990" y="1546698"/>
              <a:ext cx="1026770" cy="863203"/>
              <a:chOff x="7510696" y="0"/>
              <a:chExt cx="1030879" cy="870672"/>
            </a:xfrm>
          </xdr:grpSpPr>
          <xdr:sp macro="" textlink="">
            <xdr:nvSpPr>
              <xdr:cNvPr id="17" name="Retângulo 16">
                <a:extLst>
                  <a:ext uri="{FF2B5EF4-FFF2-40B4-BE49-F238E27FC236}">
                    <a16:creationId xmlns:a16="http://schemas.microsoft.com/office/drawing/2014/main" id="{DA378A94-EC5D-BE86-32FF-CE1B7F444928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8" name="CaixaDeTexto 17">
                <a:extLst>
                  <a:ext uri="{FF2B5EF4-FFF2-40B4-BE49-F238E27FC236}">
                    <a16:creationId xmlns:a16="http://schemas.microsoft.com/office/drawing/2014/main" id="{540577B1-E0E8-4C33-7D34-D54BA8F0B77C}"/>
                  </a:ext>
                </a:extLst>
              </xdr:cNvPr>
              <xdr:cNvSpPr txBox="1"/>
            </xdr:nvSpPr>
            <xdr:spPr>
              <a:xfrm>
                <a:off x="7732553" y="528204"/>
                <a:ext cx="587165" cy="2804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Linhas</a:t>
                </a:r>
              </a:p>
            </xdr:txBody>
          </xdr:sp>
        </xdr:grpSp>
        <xdr:pic>
          <xdr:nvPicPr>
            <xdr:cNvPr id="16" name="Imagem 15">
              <a:extLst>
                <a:ext uri="{FF2B5EF4-FFF2-40B4-BE49-F238E27FC236}">
                  <a16:creationId xmlns:a16="http://schemas.microsoft.com/office/drawing/2014/main" id="{5D703300-B392-871D-CA35-47957DDDBB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sharpenSoften amount="100000"/>
                      </a14:imgEffect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20083" y="1592904"/>
              <a:ext cx="486584" cy="486584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D9A9680-133C-4055-8D7F-865ABDDFF61D}"/>
              </a:ext>
            </a:extLst>
          </xdr:cNvPr>
          <xdr:cNvGrpSpPr/>
        </xdr:nvGrpSpPr>
        <xdr:grpSpPr>
          <a:xfrm>
            <a:off x="10071175" y="0"/>
            <a:ext cx="1024932" cy="866259"/>
            <a:chOff x="9899139" y="1970356"/>
            <a:chExt cx="1028548" cy="863203"/>
          </a:xfrm>
        </xdr:grpSpPr>
        <xdr:grpSp>
          <xdr:nvGrpSpPr>
            <xdr:cNvPr id="20" name="Agrupar 19">
              <a:extLst>
                <a:ext uri="{FF2B5EF4-FFF2-40B4-BE49-F238E27FC236}">
                  <a16:creationId xmlns:a16="http://schemas.microsoft.com/office/drawing/2014/main" id="{366FC56D-7602-B1D7-B013-FE5F7CEF34AF}"/>
                </a:ext>
              </a:extLst>
            </xdr:cNvPr>
            <xdr:cNvGrpSpPr/>
          </xdr:nvGrpSpPr>
          <xdr:grpSpPr>
            <a:xfrm>
              <a:off x="9899139" y="1970356"/>
              <a:ext cx="1028548" cy="863203"/>
              <a:chOff x="7510696" y="0"/>
              <a:chExt cx="1030879" cy="870672"/>
            </a:xfrm>
          </xdr:grpSpPr>
          <xdr:sp macro="" textlink="">
            <xdr:nvSpPr>
              <xdr:cNvPr id="22" name="Retângulo 21">
                <a:extLst>
                  <a:ext uri="{FF2B5EF4-FFF2-40B4-BE49-F238E27FC236}">
                    <a16:creationId xmlns:a16="http://schemas.microsoft.com/office/drawing/2014/main" id="{CC312BBD-C1DC-D4CD-924B-ADBAA38D0592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3" name="CaixaDeTexto 22">
                <a:extLst>
                  <a:ext uri="{FF2B5EF4-FFF2-40B4-BE49-F238E27FC236}">
                    <a16:creationId xmlns:a16="http://schemas.microsoft.com/office/drawing/2014/main" id="{F51DD987-FEF9-0D16-121F-1D27C5470C8D}"/>
                  </a:ext>
                </a:extLst>
              </xdr:cNvPr>
              <xdr:cNvSpPr txBox="1"/>
            </xdr:nvSpPr>
            <xdr:spPr>
              <a:xfrm>
                <a:off x="7613268" y="528204"/>
                <a:ext cx="825736" cy="28124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Geradores</a:t>
                </a:r>
              </a:p>
            </xdr:txBody>
          </xdr:sp>
        </xdr:grp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3C0AB146-D2F0-89CC-22A3-E9D6F088B6A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 cstate="print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7442" b="17857"/>
            <a:stretch/>
          </xdr:blipFill>
          <xdr:spPr>
            <a:xfrm>
              <a:off x="10084273" y="2065565"/>
              <a:ext cx="658281" cy="424542"/>
            </a:xfrm>
            <a:prstGeom prst="rect">
              <a:avLst/>
            </a:prstGeom>
          </xdr:spPr>
        </xdr:pic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67AF7D1E-B93D-4FC0-A333-273D6DCCC849}"/>
              </a:ext>
            </a:extLst>
          </xdr:cNvPr>
          <xdr:cNvGrpSpPr/>
        </xdr:nvGrpSpPr>
        <xdr:grpSpPr>
          <a:xfrm>
            <a:off x="11024947" y="0"/>
            <a:ext cx="1027084" cy="866259"/>
            <a:chOff x="10613252" y="3484008"/>
            <a:chExt cx="1034639" cy="863203"/>
          </a:xfrm>
        </xdr:grpSpPr>
        <xdr:grpSp>
          <xdr:nvGrpSpPr>
            <xdr:cNvPr id="25" name="Agrupar 24">
              <a:extLst>
                <a:ext uri="{FF2B5EF4-FFF2-40B4-BE49-F238E27FC236}">
                  <a16:creationId xmlns:a16="http://schemas.microsoft.com/office/drawing/2014/main" id="{F086E3FF-BB93-0883-390D-57257424CAB9}"/>
                </a:ext>
              </a:extLst>
            </xdr:cNvPr>
            <xdr:cNvGrpSpPr/>
          </xdr:nvGrpSpPr>
          <xdr:grpSpPr>
            <a:xfrm>
              <a:off x="10613252" y="3484008"/>
              <a:ext cx="1034639" cy="863203"/>
              <a:chOff x="7510696" y="0"/>
              <a:chExt cx="1030879" cy="870672"/>
            </a:xfrm>
          </xdr:grpSpPr>
          <xdr:sp macro="" textlink="">
            <xdr:nvSpPr>
              <xdr:cNvPr id="27" name="Retângulo 26">
                <a:extLst>
                  <a:ext uri="{FF2B5EF4-FFF2-40B4-BE49-F238E27FC236}">
                    <a16:creationId xmlns:a16="http://schemas.microsoft.com/office/drawing/2014/main" id="{DA5C7407-76E9-32B9-3F32-341BFFE74363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8" name="CaixaDeTexto 27">
                <a:extLst>
                  <a:ext uri="{FF2B5EF4-FFF2-40B4-BE49-F238E27FC236}">
                    <a16:creationId xmlns:a16="http://schemas.microsoft.com/office/drawing/2014/main" id="{D03E2E63-7B1C-0BAD-598B-A626732CA4FC}"/>
                  </a:ext>
                </a:extLst>
              </xdr:cNvPr>
              <xdr:cNvSpPr txBox="1"/>
            </xdr:nvSpPr>
            <xdr:spPr>
              <a:xfrm>
                <a:off x="7683765" y="528204"/>
                <a:ext cx="684741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Motores</a:t>
                </a:r>
              </a:p>
            </xdr:txBody>
          </xdr:sp>
        </xdr:grpSp>
        <xdr:pic>
          <xdr:nvPicPr>
            <xdr:cNvPr id="26" name="Imagem 25">
              <a:extLst>
                <a:ext uri="{FF2B5EF4-FFF2-40B4-BE49-F238E27FC236}">
                  <a16:creationId xmlns:a16="http://schemas.microsoft.com/office/drawing/2014/main" id="{A74268F9-5AED-8B3B-1D80-CAE77CAF8BDC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5941" t="24859" r="25956" b="25771"/>
            <a:stretch/>
          </xdr:blipFill>
          <xdr:spPr>
            <a:xfrm>
              <a:off x="10884269" y="3540671"/>
              <a:ext cx="487145" cy="496851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600A8CF-7649-4C70-A284-E76F222CCA0E}"/>
              </a:ext>
            </a:extLst>
          </xdr:cNvPr>
          <xdr:cNvGrpSpPr/>
        </xdr:nvGrpSpPr>
        <xdr:grpSpPr>
          <a:xfrm>
            <a:off x="11980871" y="0"/>
            <a:ext cx="1026398" cy="866259"/>
            <a:chOff x="10744060" y="2050831"/>
            <a:chExt cx="1032640" cy="863203"/>
          </a:xfrm>
        </xdr:grpSpPr>
        <xdr:grpSp>
          <xdr:nvGrpSpPr>
            <xdr:cNvPr id="30" name="Agrupar 29">
              <a:extLst>
                <a:ext uri="{FF2B5EF4-FFF2-40B4-BE49-F238E27FC236}">
                  <a16:creationId xmlns:a16="http://schemas.microsoft.com/office/drawing/2014/main" id="{6E5E39AD-82C1-9D4D-5F6E-2F1F05A372D7}"/>
                </a:ext>
              </a:extLst>
            </xdr:cNvPr>
            <xdr:cNvGrpSpPr/>
          </xdr:nvGrpSpPr>
          <xdr:grpSpPr>
            <a:xfrm>
              <a:off x="10744060" y="2050831"/>
              <a:ext cx="1032640" cy="863203"/>
              <a:chOff x="7510696" y="0"/>
              <a:chExt cx="1030879" cy="870672"/>
            </a:xfrm>
          </xdr:grpSpPr>
          <xdr:sp macro="" textlink="">
            <xdr:nvSpPr>
              <xdr:cNvPr id="32" name="Retângulo 31">
                <a:extLst>
                  <a:ext uri="{FF2B5EF4-FFF2-40B4-BE49-F238E27FC236}">
                    <a16:creationId xmlns:a16="http://schemas.microsoft.com/office/drawing/2014/main" id="{C0C886FD-0EE5-BDDD-A06A-C81FA101D196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33" name="CaixaDeTexto 32">
                <a:extLst>
                  <a:ext uri="{FF2B5EF4-FFF2-40B4-BE49-F238E27FC236}">
                    <a16:creationId xmlns:a16="http://schemas.microsoft.com/office/drawing/2014/main" id="{B732D628-4A72-3539-DC9E-E993D8C636C5}"/>
                  </a:ext>
                </a:extLst>
              </xdr:cNvPr>
              <xdr:cNvSpPr txBox="1"/>
            </xdr:nvSpPr>
            <xdr:spPr>
              <a:xfrm>
                <a:off x="7532260" y="528204"/>
                <a:ext cx="987751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Y Barra (+) (-)</a:t>
                </a:r>
              </a:p>
            </xdr:txBody>
          </xdr:sp>
        </xdr:grp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CE7F3FC5-2D45-9A36-FE48-20E7B6271A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77915" y="2064672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0064D801-C4E8-4989-9B0A-A59A4F741987}"/>
              </a:ext>
            </a:extLst>
          </xdr:cNvPr>
          <xdr:cNvGrpSpPr/>
        </xdr:nvGrpSpPr>
        <xdr:grpSpPr>
          <a:xfrm>
            <a:off x="13885017" y="0"/>
            <a:ext cx="1019772" cy="866259"/>
            <a:chOff x="10666547" y="1933904"/>
            <a:chExt cx="1032640" cy="863203"/>
          </a:xfrm>
        </xdr:grpSpPr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62AA9883-883B-8C99-E5A5-B27332FEBADB}"/>
                </a:ext>
              </a:extLst>
            </xdr:cNvPr>
            <xdr:cNvGrpSpPr/>
          </xdr:nvGrpSpPr>
          <xdr:grpSpPr>
            <a:xfrm>
              <a:off x="10666547" y="1933904"/>
              <a:ext cx="1032640" cy="863203"/>
              <a:chOff x="7510696" y="0"/>
              <a:chExt cx="1030879" cy="870672"/>
            </a:xfrm>
          </xdr:grpSpPr>
          <xdr:sp macro="" textlink="">
            <xdr:nvSpPr>
              <xdr:cNvPr id="37" name="Retângulo 36">
                <a:extLst>
                  <a:ext uri="{FF2B5EF4-FFF2-40B4-BE49-F238E27FC236}">
                    <a16:creationId xmlns:a16="http://schemas.microsoft.com/office/drawing/2014/main" id="{49796CD5-546F-DD02-B237-CB64120D2833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38" name="CaixaDeTexto 37">
                <a:extLst>
                  <a:ext uri="{FF2B5EF4-FFF2-40B4-BE49-F238E27FC236}">
                    <a16:creationId xmlns:a16="http://schemas.microsoft.com/office/drawing/2014/main" id="{0BD1D85E-9489-8DCC-F66E-C6C4D4F0AA28}"/>
                  </a:ext>
                </a:extLst>
              </xdr:cNvPr>
              <xdr:cNvSpPr txBox="1"/>
            </xdr:nvSpPr>
            <xdr:spPr>
              <a:xfrm>
                <a:off x="7616883" y="528204"/>
                <a:ext cx="818506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Y Barra (0)</a:t>
                </a:r>
              </a:p>
            </xdr:txBody>
          </xdr:sp>
        </xdr:grpSp>
        <xdr:pic>
          <xdr:nvPicPr>
            <xdr:cNvPr id="36" name="Imagem 35">
              <a:extLst>
                <a:ext uri="{FF2B5EF4-FFF2-40B4-BE49-F238E27FC236}">
                  <a16:creationId xmlns:a16="http://schemas.microsoft.com/office/drawing/2014/main" id="{DD4F12D1-A9EF-4510-97C4-D22A4648C9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BEBA8EAE-BF5A-486C-A8C5-ECC9F3942E4B}">
                  <a14:imgProps xmlns:a14="http://schemas.microsoft.com/office/drawing/2010/main">
                    <a14:imgLayer r:embed="rId1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00402" y="1947745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id="{BFA4E95D-ED6B-426B-B9FF-E71C0ABB6DEB}"/>
              </a:ext>
            </a:extLst>
          </xdr:cNvPr>
          <xdr:cNvGrpSpPr/>
        </xdr:nvGrpSpPr>
        <xdr:grpSpPr>
          <a:xfrm>
            <a:off x="14833629" y="0"/>
            <a:ext cx="1023084" cy="866259"/>
            <a:chOff x="10666547" y="1933904"/>
            <a:chExt cx="1032640" cy="863203"/>
          </a:xfrm>
        </xdr:grpSpPr>
        <xdr:grpSp>
          <xdr:nvGrpSpPr>
            <xdr:cNvPr id="40" name="Agrupar 39">
              <a:extLst>
                <a:ext uri="{FF2B5EF4-FFF2-40B4-BE49-F238E27FC236}">
                  <a16:creationId xmlns:a16="http://schemas.microsoft.com/office/drawing/2014/main" id="{9C065F77-649F-9976-A5A2-C7B941D79696}"/>
                </a:ext>
              </a:extLst>
            </xdr:cNvPr>
            <xdr:cNvGrpSpPr/>
          </xdr:nvGrpSpPr>
          <xdr:grpSpPr>
            <a:xfrm>
              <a:off x="10666547" y="1933904"/>
              <a:ext cx="1032640" cy="863203"/>
              <a:chOff x="7510696" y="0"/>
              <a:chExt cx="1030879" cy="870672"/>
            </a:xfrm>
          </xdr:grpSpPr>
          <xdr:sp macro="" textlink="">
            <xdr:nvSpPr>
              <xdr:cNvPr id="42" name="Retângulo 41">
                <a:extLst>
                  <a:ext uri="{FF2B5EF4-FFF2-40B4-BE49-F238E27FC236}">
                    <a16:creationId xmlns:a16="http://schemas.microsoft.com/office/drawing/2014/main" id="{8638D453-53C0-9493-8D68-8D729CDECA2B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43" name="CaixaDeTexto 42">
                <a:extLst>
                  <a:ext uri="{FF2B5EF4-FFF2-40B4-BE49-F238E27FC236}">
                    <a16:creationId xmlns:a16="http://schemas.microsoft.com/office/drawing/2014/main" id="{5B0A4C23-0D7C-93C8-FC66-CE8A31B0341B}"/>
                  </a:ext>
                </a:extLst>
              </xdr:cNvPr>
              <xdr:cNvSpPr txBox="1"/>
            </xdr:nvSpPr>
            <xdr:spPr>
              <a:xfrm>
                <a:off x="7616883" y="528204"/>
                <a:ext cx="815114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Z Barra (0)</a:t>
                </a:r>
              </a:p>
            </xdr:txBody>
          </xdr:sp>
        </xdr:grpSp>
        <xdr:pic>
          <xdr:nvPicPr>
            <xdr:cNvPr id="41" name="Imagem 40">
              <a:extLst>
                <a:ext uri="{FF2B5EF4-FFF2-40B4-BE49-F238E27FC236}">
                  <a16:creationId xmlns:a16="http://schemas.microsoft.com/office/drawing/2014/main" id="{E35FCA54-EB7D-177F-050D-19F20D39BB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00402" y="1947745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7169B890-193E-4CCB-9E1A-3729077AE9F3}"/>
              </a:ext>
            </a:extLst>
          </xdr:cNvPr>
          <xdr:cNvGrpSpPr/>
        </xdr:nvGrpSpPr>
        <xdr:grpSpPr>
          <a:xfrm>
            <a:off x="12936109" y="0"/>
            <a:ext cx="1021086" cy="866259"/>
            <a:chOff x="10744060" y="2050831"/>
            <a:chExt cx="1032640" cy="863203"/>
          </a:xfrm>
        </xdr:grpSpPr>
        <xdr:grpSp>
          <xdr:nvGrpSpPr>
            <xdr:cNvPr id="45" name="Agrupar 44">
              <a:extLst>
                <a:ext uri="{FF2B5EF4-FFF2-40B4-BE49-F238E27FC236}">
                  <a16:creationId xmlns:a16="http://schemas.microsoft.com/office/drawing/2014/main" id="{BE00405C-3578-1B88-82BA-01BB321EED5A}"/>
                </a:ext>
              </a:extLst>
            </xdr:cNvPr>
            <xdr:cNvGrpSpPr/>
          </xdr:nvGrpSpPr>
          <xdr:grpSpPr>
            <a:xfrm>
              <a:off x="10744060" y="2050831"/>
              <a:ext cx="1032640" cy="863203"/>
              <a:chOff x="7510696" y="0"/>
              <a:chExt cx="1030879" cy="870672"/>
            </a:xfrm>
          </xdr:grpSpPr>
          <xdr:sp macro="" textlink="">
            <xdr:nvSpPr>
              <xdr:cNvPr id="47" name="Retângulo 46">
                <a:extLst>
                  <a:ext uri="{FF2B5EF4-FFF2-40B4-BE49-F238E27FC236}">
                    <a16:creationId xmlns:a16="http://schemas.microsoft.com/office/drawing/2014/main" id="{470020CB-F11D-0444-5CEC-2C7B7D42057C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48" name="CaixaDeTexto 47">
                <a:extLst>
                  <a:ext uri="{FF2B5EF4-FFF2-40B4-BE49-F238E27FC236}">
                    <a16:creationId xmlns:a16="http://schemas.microsoft.com/office/drawing/2014/main" id="{1332701F-3744-9658-8C2C-0DBFEF7C1A47}"/>
                  </a:ext>
                </a:extLst>
              </xdr:cNvPr>
              <xdr:cNvSpPr txBox="1"/>
            </xdr:nvSpPr>
            <xdr:spPr>
              <a:xfrm>
                <a:off x="7532260" y="528204"/>
                <a:ext cx="987751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Z Barra (+) (-)</a:t>
                </a:r>
              </a:p>
            </xdr:txBody>
          </xdr:sp>
        </xdr:grpSp>
        <xdr:pic>
          <xdr:nvPicPr>
            <xdr:cNvPr id="46" name="Imagem 45">
              <a:extLst>
                <a:ext uri="{FF2B5EF4-FFF2-40B4-BE49-F238E27FC236}">
                  <a16:creationId xmlns:a16="http://schemas.microsoft.com/office/drawing/2014/main" id="{6B360443-0E5F-DA92-2716-6BBEC12D4D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77915" y="2064672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A198ED63-AD21-4F51-B9C1-4618213B5A67}"/>
              </a:ext>
            </a:extLst>
          </xdr:cNvPr>
          <xdr:cNvGrpSpPr/>
        </xdr:nvGrpSpPr>
        <xdr:grpSpPr>
          <a:xfrm>
            <a:off x="15785553" y="0"/>
            <a:ext cx="1037684" cy="866259"/>
            <a:chOff x="7623418" y="2467632"/>
            <a:chExt cx="1034665" cy="863203"/>
          </a:xfrm>
        </xdr:grpSpPr>
        <xdr:grpSp>
          <xdr:nvGrpSpPr>
            <xdr:cNvPr id="55" name="Agrupar 54">
              <a:extLst>
                <a:ext uri="{FF2B5EF4-FFF2-40B4-BE49-F238E27FC236}">
                  <a16:creationId xmlns:a16="http://schemas.microsoft.com/office/drawing/2014/main" id="{58DBE0E7-D9AB-B5E0-33C8-A61E974695CD}"/>
                </a:ext>
              </a:extLst>
            </xdr:cNvPr>
            <xdr:cNvGrpSpPr/>
          </xdr:nvGrpSpPr>
          <xdr:grpSpPr>
            <a:xfrm>
              <a:off x="7623418" y="2467632"/>
              <a:ext cx="1034665" cy="863203"/>
              <a:chOff x="7532966" y="0"/>
              <a:chExt cx="1030879" cy="870672"/>
            </a:xfrm>
          </xdr:grpSpPr>
          <xdr:sp macro="" textlink="">
            <xdr:nvSpPr>
              <xdr:cNvPr id="57" name="Retângulo 56">
                <a:extLst>
                  <a:ext uri="{FF2B5EF4-FFF2-40B4-BE49-F238E27FC236}">
                    <a16:creationId xmlns:a16="http://schemas.microsoft.com/office/drawing/2014/main" id="{D7E893D1-1635-593C-AE48-B7EBF8B2E6B5}"/>
                  </a:ext>
                </a:extLst>
              </xdr:cNvPr>
              <xdr:cNvSpPr/>
            </xdr:nvSpPr>
            <xdr:spPr>
              <a:xfrm>
                <a:off x="753296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58" name="CaixaDeTexto 57">
                <a:extLst>
                  <a:ext uri="{FF2B5EF4-FFF2-40B4-BE49-F238E27FC236}">
                    <a16:creationId xmlns:a16="http://schemas.microsoft.com/office/drawing/2014/main" id="{4A5A0953-EB03-5269-B727-F46D9F8C6C9B}"/>
                  </a:ext>
                </a:extLst>
              </xdr:cNvPr>
              <xdr:cNvSpPr txBox="1"/>
            </xdr:nvSpPr>
            <xdr:spPr>
              <a:xfrm>
                <a:off x="7679657" y="528204"/>
                <a:ext cx="737495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Relatório</a:t>
                </a:r>
              </a:p>
            </xdr:txBody>
          </xdr:sp>
        </xdr:grpSp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186B5264-6791-7A26-0A37-C5B7C8ABE1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07552" y="2531069"/>
              <a:ext cx="466396" cy="466396"/>
            </a:xfrm>
            <a:prstGeom prst="rect">
              <a:avLst/>
            </a:prstGeom>
          </xdr:spPr>
        </xdr:pic>
      </xdr:grpSp>
      <xdr:grpSp>
        <xdr:nvGrpSpPr>
          <xdr:cNvPr id="59" name="Agrupar 58">
            <a:extLst>
              <a:ext uri="{FF2B5EF4-FFF2-40B4-BE49-F238E27FC236}">
                <a16:creationId xmlns:a16="http://schemas.microsoft.com/office/drawing/2014/main" id="{E68621AD-C304-45D4-8ED0-BFDA6B9DC94C}"/>
              </a:ext>
            </a:extLst>
          </xdr:cNvPr>
          <xdr:cNvGrpSpPr/>
        </xdr:nvGrpSpPr>
        <xdr:grpSpPr>
          <a:xfrm>
            <a:off x="16752077" y="11028"/>
            <a:ext cx="1137660" cy="859330"/>
            <a:chOff x="7441106" y="2890839"/>
            <a:chExt cx="1139825" cy="839477"/>
          </a:xfrm>
        </xdr:grpSpPr>
        <xdr:grpSp>
          <xdr:nvGrpSpPr>
            <xdr:cNvPr id="60" name="Agrupar 59">
              <a:extLst>
                <a:ext uri="{FF2B5EF4-FFF2-40B4-BE49-F238E27FC236}">
                  <a16:creationId xmlns:a16="http://schemas.microsoft.com/office/drawing/2014/main" id="{5DE88731-0B1C-FF4E-19D9-3A528B68BC98}"/>
                </a:ext>
              </a:extLst>
            </xdr:cNvPr>
            <xdr:cNvGrpSpPr/>
          </xdr:nvGrpSpPr>
          <xdr:grpSpPr>
            <a:xfrm>
              <a:off x="7441106" y="2890839"/>
              <a:ext cx="1139825" cy="839477"/>
              <a:chOff x="7519888" y="1"/>
              <a:chExt cx="1142799" cy="842911"/>
            </a:xfrm>
          </xdr:grpSpPr>
          <xdr:sp macro="" textlink="">
            <xdr:nvSpPr>
              <xdr:cNvPr id="62" name="Retângulo 61">
                <a:extLst>
                  <a:ext uri="{FF2B5EF4-FFF2-40B4-BE49-F238E27FC236}">
                    <a16:creationId xmlns:a16="http://schemas.microsoft.com/office/drawing/2014/main" id="{810A0712-CB4A-A455-92E7-8764E35A4CB7}"/>
                  </a:ext>
                </a:extLst>
              </xdr:cNvPr>
              <xdr:cNvSpPr/>
            </xdr:nvSpPr>
            <xdr:spPr>
              <a:xfrm>
                <a:off x="7575848" y="1"/>
                <a:ext cx="1030879" cy="842911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0CC18E1-A5C1-4E5F-5F99-0B89DD0EA7FE}"/>
                  </a:ext>
                </a:extLst>
              </xdr:cNvPr>
              <xdr:cNvSpPr txBox="1"/>
            </xdr:nvSpPr>
            <xdr:spPr>
              <a:xfrm>
                <a:off x="7519888" y="528204"/>
                <a:ext cx="1142799" cy="2813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Gerar</a:t>
                </a:r>
                <a:r>
                  <a:rPr lang="pt-BR" sz="1200" baseline="0">
                    <a:solidFill>
                      <a:schemeClr val="bg1"/>
                    </a:solidFill>
                  </a:rPr>
                  <a:t> Diagrama</a:t>
                </a:r>
                <a:endParaRPr lang="pt-BR" sz="1200">
                  <a:solidFill>
                    <a:schemeClr val="bg1"/>
                  </a:solidFill>
                </a:endParaRPr>
              </a:p>
            </xdr:txBody>
          </xdr:sp>
        </xdr:grpSp>
        <xdr:pic>
          <xdr:nvPicPr>
            <xdr:cNvPr id="61" name="Imagem 60">
              <a:extLst>
                <a:ext uri="{FF2B5EF4-FFF2-40B4-BE49-F238E27FC236}">
                  <a16:creationId xmlns:a16="http://schemas.microsoft.com/office/drawing/2014/main" id="{251848BF-A07E-61A1-E787-A7293BC1B4E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BEBA8EAE-BF5A-486C-A8C5-ECC9F3942E4B}">
                  <a14:imgProps xmlns:a14="http://schemas.microsoft.com/office/drawing/2010/main">
                    <a14:imgLayer r:embed="rId2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757532" y="2922724"/>
              <a:ext cx="506973" cy="512229"/>
            </a:xfrm>
            <a:prstGeom prst="rect">
              <a:avLst/>
            </a:prstGeom>
          </xdr:spPr>
        </xdr:pic>
      </xdr:grp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A3C0D17-7947-4B25-CA56-FAA6CF335C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35641" y="89991"/>
            <a:ext cx="482149" cy="47130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5</xdr:row>
      <xdr:rowOff>0</xdr:rowOff>
    </xdr:from>
    <xdr:to>
      <xdr:col>4</xdr:col>
      <xdr:colOff>129210</xdr:colOff>
      <xdr:row>5</xdr:row>
      <xdr:rowOff>861390</xdr:rowOff>
    </xdr:to>
    <xdr:sp macro="" textlink="">
      <xdr:nvSpPr>
        <xdr:cNvPr id="132" name="Retângulo 131">
          <a:extLst>
            <a:ext uri="{FF2B5EF4-FFF2-40B4-BE49-F238E27FC236}">
              <a16:creationId xmlns:a16="http://schemas.microsoft.com/office/drawing/2014/main" id="{E31C83DA-B562-40C0-A05C-4B93D8214336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5</xdr:row>
      <xdr:rowOff>44868</xdr:rowOff>
    </xdr:from>
    <xdr:to>
      <xdr:col>1</xdr:col>
      <xdr:colOff>198951</xdr:colOff>
      <xdr:row>5</xdr:row>
      <xdr:rowOff>744273</xdr:rowOff>
    </xdr:to>
    <xdr:sp macro="" textlink="">
      <xdr:nvSpPr>
        <xdr:cNvPr id="133" name="Raio 132">
          <a:extLst>
            <a:ext uri="{FF2B5EF4-FFF2-40B4-BE49-F238E27FC236}">
              <a16:creationId xmlns:a16="http://schemas.microsoft.com/office/drawing/2014/main" id="{93FDF884-9CF6-4217-BD21-A6C72D6A2BCE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5</xdr:row>
      <xdr:rowOff>88624</xdr:rowOff>
    </xdr:from>
    <xdr:ext cx="5325718" cy="593239"/>
    <xdr:sp macro="" textlink="">
      <xdr:nvSpPr>
        <xdr:cNvPr id="134" name="CaixaDeTexto 133">
          <a:extLst>
            <a:ext uri="{FF2B5EF4-FFF2-40B4-BE49-F238E27FC236}">
              <a16:creationId xmlns:a16="http://schemas.microsoft.com/office/drawing/2014/main" id="{47D44175-BDA6-48AA-AE63-55F4A944B8AF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13</xdr:col>
      <xdr:colOff>85172</xdr:colOff>
      <xdr:row>5</xdr:row>
      <xdr:rowOff>0</xdr:rowOff>
    </xdr:from>
    <xdr:to>
      <xdr:col>15</xdr:col>
      <xdr:colOff>94899</xdr:colOff>
      <xdr:row>6</xdr:row>
      <xdr:rowOff>350</xdr:rowOff>
    </xdr:to>
    <xdr:grpSp>
      <xdr:nvGrpSpPr>
        <xdr:cNvPr id="139" name="Agrupar 138">
          <a:extLst>
            <a:ext uri="{FF2B5EF4-FFF2-40B4-BE49-F238E27FC236}">
              <a16:creationId xmlns:a16="http://schemas.microsoft.com/office/drawing/2014/main" id="{43F85090-6116-4C6D-9459-3DB889D02639}"/>
            </a:ext>
          </a:extLst>
        </xdr:cNvPr>
        <xdr:cNvGrpSpPr/>
      </xdr:nvGrpSpPr>
      <xdr:grpSpPr>
        <a:xfrm>
          <a:off x="7964945" y="1922318"/>
          <a:ext cx="1221999" cy="866259"/>
          <a:chOff x="10965361" y="1520405"/>
          <a:chExt cx="1231803" cy="863203"/>
        </a:xfrm>
      </xdr:grpSpPr>
      <xdr:grpSp>
        <xdr:nvGrpSpPr>
          <xdr:cNvPr id="140" name="Agrupar 139">
            <a:extLst>
              <a:ext uri="{FF2B5EF4-FFF2-40B4-BE49-F238E27FC236}">
                <a16:creationId xmlns:a16="http://schemas.microsoft.com/office/drawing/2014/main" id="{F1460D01-D5FF-5BC8-0919-3245B5658208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142" name="Retângulo 141">
              <a:extLst>
                <a:ext uri="{FF2B5EF4-FFF2-40B4-BE49-F238E27FC236}">
                  <a16:creationId xmlns:a16="http://schemas.microsoft.com/office/drawing/2014/main" id="{D15A70B0-6FA8-EA46-57E3-EDD995D5F975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3" name="CaixaDeTexto 142">
              <a:extLst>
                <a:ext uri="{FF2B5EF4-FFF2-40B4-BE49-F238E27FC236}">
                  <a16:creationId xmlns:a16="http://schemas.microsoft.com/office/drawing/2014/main" id="{F3601E01-05E4-5AEC-645F-B01E2FFC8B01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141" name="Imagem 140">
            <a:extLst>
              <a:ext uri="{FF2B5EF4-FFF2-40B4-BE49-F238E27FC236}">
                <a16:creationId xmlns:a16="http://schemas.microsoft.com/office/drawing/2014/main" id="{01573581-B373-D5E6-681A-70A7A545EED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5</xdr:row>
      <xdr:rowOff>0</xdr:rowOff>
    </xdr:from>
    <xdr:to>
      <xdr:col>16</xdr:col>
      <xdr:colOff>444153</xdr:colOff>
      <xdr:row>6</xdr:row>
      <xdr:rowOff>350</xdr:rowOff>
    </xdr:to>
    <xdr:grpSp>
      <xdr:nvGrpSpPr>
        <xdr:cNvPr id="144" name="Agrupar 143">
          <a:extLst>
            <a:ext uri="{FF2B5EF4-FFF2-40B4-BE49-F238E27FC236}">
              <a16:creationId xmlns:a16="http://schemas.microsoft.com/office/drawing/2014/main" id="{6A784104-F294-453C-BDB5-4A2AB07BF9CB}"/>
            </a:ext>
          </a:extLst>
        </xdr:cNvPr>
        <xdr:cNvGrpSpPr/>
      </xdr:nvGrpSpPr>
      <xdr:grpSpPr>
        <a:xfrm>
          <a:off x="9115784" y="1922318"/>
          <a:ext cx="1026551" cy="866259"/>
          <a:chOff x="10249990" y="1546698"/>
          <a:chExt cx="1026770" cy="863203"/>
        </a:xfrm>
      </xdr:grpSpPr>
      <xdr:grpSp>
        <xdr:nvGrpSpPr>
          <xdr:cNvPr id="145" name="Agrupar 144">
            <a:extLst>
              <a:ext uri="{FF2B5EF4-FFF2-40B4-BE49-F238E27FC236}">
                <a16:creationId xmlns:a16="http://schemas.microsoft.com/office/drawing/2014/main" id="{A2D4017B-96A3-57E6-1965-A5EDC60C2DAE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47" name="Retângulo 146">
              <a:extLst>
                <a:ext uri="{FF2B5EF4-FFF2-40B4-BE49-F238E27FC236}">
                  <a16:creationId xmlns:a16="http://schemas.microsoft.com/office/drawing/2014/main" id="{E2CC21B8-2581-708B-23D6-82D0636D3FC0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8" name="CaixaDeTexto 147">
              <a:extLst>
                <a:ext uri="{FF2B5EF4-FFF2-40B4-BE49-F238E27FC236}">
                  <a16:creationId xmlns:a16="http://schemas.microsoft.com/office/drawing/2014/main" id="{0A38777B-09C1-C768-B446-DFCA5C2E5381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46" name="Imagem 145">
            <a:extLst>
              <a:ext uri="{FF2B5EF4-FFF2-40B4-BE49-F238E27FC236}">
                <a16:creationId xmlns:a16="http://schemas.microsoft.com/office/drawing/2014/main" id="{CB259510-4D2B-99FD-4BF0-F921D72D5F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372993</xdr:colOff>
      <xdr:row>5</xdr:row>
      <xdr:rowOff>0</xdr:rowOff>
    </xdr:from>
    <xdr:to>
      <xdr:col>18</xdr:col>
      <xdr:colOff>185652</xdr:colOff>
      <xdr:row>6</xdr:row>
      <xdr:rowOff>350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30815F6D-CE53-4FF6-9519-AA94F6E0AC4B}"/>
            </a:ext>
          </a:extLst>
        </xdr:cNvPr>
        <xdr:cNvGrpSpPr/>
      </xdr:nvGrpSpPr>
      <xdr:grpSpPr>
        <a:xfrm>
          <a:off x="10071175" y="1922318"/>
          <a:ext cx="1024932" cy="866259"/>
          <a:chOff x="9899139" y="1970356"/>
          <a:chExt cx="1028548" cy="863203"/>
        </a:xfrm>
      </xdr:grpSpPr>
      <xdr:grpSp>
        <xdr:nvGrpSpPr>
          <xdr:cNvPr id="150" name="Agrupar 149">
            <a:extLst>
              <a:ext uri="{FF2B5EF4-FFF2-40B4-BE49-F238E27FC236}">
                <a16:creationId xmlns:a16="http://schemas.microsoft.com/office/drawing/2014/main" id="{D3A8536A-5E83-5514-FF5A-F43A6AD70967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152" name="Retângulo 151">
              <a:extLst>
                <a:ext uri="{FF2B5EF4-FFF2-40B4-BE49-F238E27FC236}">
                  <a16:creationId xmlns:a16="http://schemas.microsoft.com/office/drawing/2014/main" id="{E275D3BF-6F6E-C797-C6EA-01CDAE2CBD4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3" name="CaixaDeTexto 152">
              <a:extLst>
                <a:ext uri="{FF2B5EF4-FFF2-40B4-BE49-F238E27FC236}">
                  <a16:creationId xmlns:a16="http://schemas.microsoft.com/office/drawing/2014/main" id="{C4E2F4FB-461D-9369-CA81-F3AF56620D2E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151" name="Imagem 150">
            <a:extLst>
              <a:ext uri="{FF2B5EF4-FFF2-40B4-BE49-F238E27FC236}">
                <a16:creationId xmlns:a16="http://schemas.microsoft.com/office/drawing/2014/main" id="{1E2D4DA8-F1F7-C549-7F1E-A9E70B3FF54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5</xdr:row>
      <xdr:rowOff>0</xdr:rowOff>
    </xdr:from>
    <xdr:to>
      <xdr:col>19</xdr:col>
      <xdr:colOff>535440</xdr:colOff>
      <xdr:row>6</xdr:row>
      <xdr:rowOff>350</xdr:rowOff>
    </xdr:to>
    <xdr:grpSp>
      <xdr:nvGrpSpPr>
        <xdr:cNvPr id="154" name="Agrupar 153">
          <a:extLst>
            <a:ext uri="{FF2B5EF4-FFF2-40B4-BE49-F238E27FC236}">
              <a16:creationId xmlns:a16="http://schemas.microsoft.com/office/drawing/2014/main" id="{C84484E9-D0F0-47B2-8571-92A396F1D90D}"/>
            </a:ext>
          </a:extLst>
        </xdr:cNvPr>
        <xdr:cNvGrpSpPr/>
      </xdr:nvGrpSpPr>
      <xdr:grpSpPr>
        <a:xfrm>
          <a:off x="11024947" y="1922318"/>
          <a:ext cx="1027084" cy="866259"/>
          <a:chOff x="10613252" y="3484008"/>
          <a:chExt cx="1034639" cy="863203"/>
        </a:xfrm>
      </xdr:grpSpPr>
      <xdr:grpSp>
        <xdr:nvGrpSpPr>
          <xdr:cNvPr id="155" name="Agrupar 154">
            <a:extLst>
              <a:ext uri="{FF2B5EF4-FFF2-40B4-BE49-F238E27FC236}">
                <a16:creationId xmlns:a16="http://schemas.microsoft.com/office/drawing/2014/main" id="{4C7F80C5-641A-26C6-B4F6-AA47FE9E8E6D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157" name="Retângulo 156">
              <a:extLst>
                <a:ext uri="{FF2B5EF4-FFF2-40B4-BE49-F238E27FC236}">
                  <a16:creationId xmlns:a16="http://schemas.microsoft.com/office/drawing/2014/main" id="{FE79EF88-3662-1EBB-FF44-BEFA12CCDE6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8" name="CaixaDeTexto 157">
              <a:extLst>
                <a:ext uri="{FF2B5EF4-FFF2-40B4-BE49-F238E27FC236}">
                  <a16:creationId xmlns:a16="http://schemas.microsoft.com/office/drawing/2014/main" id="{07766A5D-C24D-5DC9-33C0-BB16E6A337A1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156" name="Imagem 155">
            <a:extLst>
              <a:ext uri="{FF2B5EF4-FFF2-40B4-BE49-F238E27FC236}">
                <a16:creationId xmlns:a16="http://schemas.microsoft.com/office/drawing/2014/main" id="{ED8CC5F8-27DB-0951-677C-95481CFED4B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464280</xdr:colOff>
      <xdr:row>5</xdr:row>
      <xdr:rowOff>0</xdr:rowOff>
    </xdr:from>
    <xdr:to>
      <xdr:col>21</xdr:col>
      <xdr:colOff>278405</xdr:colOff>
      <xdr:row>6</xdr:row>
      <xdr:rowOff>350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04C29B78-6AB1-427F-A125-8764CAA958BB}"/>
            </a:ext>
          </a:extLst>
        </xdr:cNvPr>
        <xdr:cNvGrpSpPr/>
      </xdr:nvGrpSpPr>
      <xdr:grpSpPr>
        <a:xfrm>
          <a:off x="11980871" y="1922318"/>
          <a:ext cx="1026398" cy="866259"/>
          <a:chOff x="10744060" y="2050831"/>
          <a:chExt cx="1032640" cy="863203"/>
        </a:xfrm>
      </xdr:grpSpPr>
      <xdr:grpSp>
        <xdr:nvGrpSpPr>
          <xdr:cNvPr id="160" name="Agrupar 159">
            <a:extLst>
              <a:ext uri="{FF2B5EF4-FFF2-40B4-BE49-F238E27FC236}">
                <a16:creationId xmlns:a16="http://schemas.microsoft.com/office/drawing/2014/main" id="{141C0C40-B6B7-8D2D-7F1F-5FD9FA86B365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162" name="Retângulo 161">
              <a:extLst>
                <a:ext uri="{FF2B5EF4-FFF2-40B4-BE49-F238E27FC236}">
                  <a16:creationId xmlns:a16="http://schemas.microsoft.com/office/drawing/2014/main" id="{333C5DA8-9799-D9E8-8823-0ADB03A452A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3" name="CaixaDeTexto 162">
              <a:extLst>
                <a:ext uri="{FF2B5EF4-FFF2-40B4-BE49-F238E27FC236}">
                  <a16:creationId xmlns:a16="http://schemas.microsoft.com/office/drawing/2014/main" id="{FA6727A5-C447-917E-0319-803CE5E68059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161" name="Imagem 160">
            <a:extLst>
              <a:ext uri="{FF2B5EF4-FFF2-40B4-BE49-F238E27FC236}">
                <a16:creationId xmlns:a16="http://schemas.microsoft.com/office/drawing/2014/main" id="{3528C002-CDDC-7A3A-8C51-B02330922F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550017</xdr:colOff>
      <xdr:row>5</xdr:row>
      <xdr:rowOff>0</xdr:rowOff>
    </xdr:from>
    <xdr:to>
      <xdr:col>24</xdr:col>
      <xdr:colOff>357516</xdr:colOff>
      <xdr:row>6</xdr:row>
      <xdr:rowOff>350</xdr:rowOff>
    </xdr:to>
    <xdr:grpSp>
      <xdr:nvGrpSpPr>
        <xdr:cNvPr id="164" name="Agrupar 163">
          <a:extLst>
            <a:ext uri="{FF2B5EF4-FFF2-40B4-BE49-F238E27FC236}">
              <a16:creationId xmlns:a16="http://schemas.microsoft.com/office/drawing/2014/main" id="{D8E059D4-4E28-42AC-87BF-AE0A1E826D0F}"/>
            </a:ext>
          </a:extLst>
        </xdr:cNvPr>
        <xdr:cNvGrpSpPr/>
      </xdr:nvGrpSpPr>
      <xdr:grpSpPr>
        <a:xfrm>
          <a:off x="13885017" y="1922318"/>
          <a:ext cx="1019772" cy="866259"/>
          <a:chOff x="10666547" y="1933904"/>
          <a:chExt cx="1032640" cy="863203"/>
        </a:xfrm>
      </xdr:grpSpPr>
      <xdr:grpSp>
        <xdr:nvGrpSpPr>
          <xdr:cNvPr id="165" name="Agrupar 164">
            <a:extLst>
              <a:ext uri="{FF2B5EF4-FFF2-40B4-BE49-F238E27FC236}">
                <a16:creationId xmlns:a16="http://schemas.microsoft.com/office/drawing/2014/main" id="{D008529F-B730-0691-75BA-70354D8002A0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167" name="Retângulo 166">
              <a:extLst>
                <a:ext uri="{FF2B5EF4-FFF2-40B4-BE49-F238E27FC236}">
                  <a16:creationId xmlns:a16="http://schemas.microsoft.com/office/drawing/2014/main" id="{6EE52F6B-898C-9773-A35E-2059C6C5295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8" name="CaixaDeTexto 167">
              <a:extLst>
                <a:ext uri="{FF2B5EF4-FFF2-40B4-BE49-F238E27FC236}">
                  <a16:creationId xmlns:a16="http://schemas.microsoft.com/office/drawing/2014/main" id="{18B067BC-7482-BB3D-2867-E2D0C87E5179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166" name="Imagem 165">
            <a:extLst>
              <a:ext uri="{FF2B5EF4-FFF2-40B4-BE49-F238E27FC236}">
                <a16:creationId xmlns:a16="http://schemas.microsoft.com/office/drawing/2014/main" id="{F303374D-1B0A-EDD4-9148-4C645A75A2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286356</xdr:colOff>
      <xdr:row>5</xdr:row>
      <xdr:rowOff>0</xdr:rowOff>
    </xdr:from>
    <xdr:to>
      <xdr:col>26</xdr:col>
      <xdr:colOff>97168</xdr:colOff>
      <xdr:row>6</xdr:row>
      <xdr:rowOff>350</xdr:rowOff>
    </xdr:to>
    <xdr:grpSp>
      <xdr:nvGrpSpPr>
        <xdr:cNvPr id="169" name="Agrupar 168">
          <a:extLst>
            <a:ext uri="{FF2B5EF4-FFF2-40B4-BE49-F238E27FC236}">
              <a16:creationId xmlns:a16="http://schemas.microsoft.com/office/drawing/2014/main" id="{C845717F-D7BF-4BEC-869B-37892614E2E4}"/>
            </a:ext>
          </a:extLst>
        </xdr:cNvPr>
        <xdr:cNvGrpSpPr/>
      </xdr:nvGrpSpPr>
      <xdr:grpSpPr>
        <a:xfrm>
          <a:off x="14833629" y="1922318"/>
          <a:ext cx="1023084" cy="866259"/>
          <a:chOff x="10666547" y="1933904"/>
          <a:chExt cx="1032640" cy="863203"/>
        </a:xfrm>
      </xdr:grpSpPr>
      <xdr:grpSp>
        <xdr:nvGrpSpPr>
          <xdr:cNvPr id="170" name="Agrupar 169">
            <a:extLst>
              <a:ext uri="{FF2B5EF4-FFF2-40B4-BE49-F238E27FC236}">
                <a16:creationId xmlns:a16="http://schemas.microsoft.com/office/drawing/2014/main" id="{4DA8F548-31E9-2845-4D70-DEAF94AE57F4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172" name="Retângulo 171">
              <a:extLst>
                <a:ext uri="{FF2B5EF4-FFF2-40B4-BE49-F238E27FC236}">
                  <a16:creationId xmlns:a16="http://schemas.microsoft.com/office/drawing/2014/main" id="{F7C392B1-F2E5-E8D8-28E4-49946A9A6D0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3" name="CaixaDeTexto 172">
              <a:extLst>
                <a:ext uri="{FF2B5EF4-FFF2-40B4-BE49-F238E27FC236}">
                  <a16:creationId xmlns:a16="http://schemas.microsoft.com/office/drawing/2014/main" id="{09B72FFC-88E5-3605-3970-3CF32A2D34A7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171" name="Imagem 170">
            <a:extLst>
              <a:ext uri="{FF2B5EF4-FFF2-40B4-BE49-F238E27FC236}">
                <a16:creationId xmlns:a16="http://schemas.microsoft.com/office/drawing/2014/main" id="{6B7F409A-A58E-6DE1-2465-83659D1B6F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207245</xdr:colOff>
      <xdr:row>5</xdr:row>
      <xdr:rowOff>0</xdr:rowOff>
    </xdr:from>
    <xdr:to>
      <xdr:col>23</xdr:col>
      <xdr:colOff>16059</xdr:colOff>
      <xdr:row>6</xdr:row>
      <xdr:rowOff>350</xdr:rowOff>
    </xdr:to>
    <xdr:grpSp>
      <xdr:nvGrpSpPr>
        <xdr:cNvPr id="174" name="Agrupar 173">
          <a:extLst>
            <a:ext uri="{FF2B5EF4-FFF2-40B4-BE49-F238E27FC236}">
              <a16:creationId xmlns:a16="http://schemas.microsoft.com/office/drawing/2014/main" id="{E2C49D83-972D-424B-80C1-32BE648B81BD}"/>
            </a:ext>
          </a:extLst>
        </xdr:cNvPr>
        <xdr:cNvGrpSpPr/>
      </xdr:nvGrpSpPr>
      <xdr:grpSpPr>
        <a:xfrm>
          <a:off x="12936109" y="1922318"/>
          <a:ext cx="1021086" cy="866259"/>
          <a:chOff x="10744060" y="2050831"/>
          <a:chExt cx="1032640" cy="863203"/>
        </a:xfrm>
      </xdr:grpSpPr>
      <xdr:grpSp>
        <xdr:nvGrpSpPr>
          <xdr:cNvPr id="175" name="Agrupar 174">
            <a:extLst>
              <a:ext uri="{FF2B5EF4-FFF2-40B4-BE49-F238E27FC236}">
                <a16:creationId xmlns:a16="http://schemas.microsoft.com/office/drawing/2014/main" id="{CD23175D-32E4-E87C-203A-A8627E5FBAE0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177" name="Retângulo 176">
              <a:extLst>
                <a:ext uri="{FF2B5EF4-FFF2-40B4-BE49-F238E27FC236}">
                  <a16:creationId xmlns:a16="http://schemas.microsoft.com/office/drawing/2014/main" id="{21678DD0-DABA-27E4-7BC8-AC70B006E3F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8" name="CaixaDeTexto 177">
              <a:extLst>
                <a:ext uri="{FF2B5EF4-FFF2-40B4-BE49-F238E27FC236}">
                  <a16:creationId xmlns:a16="http://schemas.microsoft.com/office/drawing/2014/main" id="{A3D03D45-7694-A211-0410-0100FAEEBB60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176" name="Imagem 175">
            <a:extLst>
              <a:ext uri="{FF2B5EF4-FFF2-40B4-BE49-F238E27FC236}">
                <a16:creationId xmlns:a16="http://schemas.microsoft.com/office/drawing/2014/main" id="{8FDA6294-6A64-C34B-980A-5D84FCDD14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5</xdr:row>
      <xdr:rowOff>0</xdr:rowOff>
    </xdr:from>
    <xdr:to>
      <xdr:col>11</xdr:col>
      <xdr:colOff>352792</xdr:colOff>
      <xdr:row>6</xdr:row>
      <xdr:rowOff>350</xdr:rowOff>
    </xdr:to>
    <xdr:grpSp>
      <xdr:nvGrpSpPr>
        <xdr:cNvPr id="179" name="Agrupar 178">
          <a:extLst>
            <a:ext uri="{FF2B5EF4-FFF2-40B4-BE49-F238E27FC236}">
              <a16:creationId xmlns:a16="http://schemas.microsoft.com/office/drawing/2014/main" id="{F44080E2-1382-40CD-8F61-A3279340E2EA}"/>
            </a:ext>
          </a:extLst>
        </xdr:cNvPr>
        <xdr:cNvGrpSpPr/>
      </xdr:nvGrpSpPr>
      <xdr:grpSpPr>
        <a:xfrm>
          <a:off x="5945988" y="1922318"/>
          <a:ext cx="1074304" cy="866259"/>
          <a:chOff x="8052741" y="2471157"/>
          <a:chExt cx="1082687" cy="863203"/>
        </a:xfrm>
      </xdr:grpSpPr>
      <xdr:grpSp>
        <xdr:nvGrpSpPr>
          <xdr:cNvPr id="180" name="Agrupar 179">
            <a:extLst>
              <a:ext uri="{FF2B5EF4-FFF2-40B4-BE49-F238E27FC236}">
                <a16:creationId xmlns:a16="http://schemas.microsoft.com/office/drawing/2014/main" id="{7E6AF539-9BE9-41A3-591D-CD1D1D8F44C9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182" name="Retângulo 181">
              <a:extLst>
                <a:ext uri="{FF2B5EF4-FFF2-40B4-BE49-F238E27FC236}">
                  <a16:creationId xmlns:a16="http://schemas.microsoft.com/office/drawing/2014/main" id="{5A9D4EBD-D885-0A20-F074-D0118A22D406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3" name="CaixaDeTexto 182">
              <a:extLst>
                <a:ext uri="{FF2B5EF4-FFF2-40B4-BE49-F238E27FC236}">
                  <a16:creationId xmlns:a16="http://schemas.microsoft.com/office/drawing/2014/main" id="{084C180A-9EEB-0237-50C6-860FED225AEE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181" name="Imagem 180">
            <a:extLst>
              <a:ext uri="{FF2B5EF4-FFF2-40B4-BE49-F238E27FC236}">
                <a16:creationId xmlns:a16="http://schemas.microsoft.com/office/drawing/2014/main" id="{66E92F31-79EC-1A99-12FB-47775FBA8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26008</xdr:colOff>
      <xdr:row>5</xdr:row>
      <xdr:rowOff>0</xdr:rowOff>
    </xdr:from>
    <xdr:to>
      <xdr:col>27</xdr:col>
      <xdr:colOff>457555</xdr:colOff>
      <xdr:row>6</xdr:row>
      <xdr:rowOff>350</xdr:rowOff>
    </xdr:to>
    <xdr:grpSp>
      <xdr:nvGrpSpPr>
        <xdr:cNvPr id="184" name="Agrupar 183">
          <a:extLst>
            <a:ext uri="{FF2B5EF4-FFF2-40B4-BE49-F238E27FC236}">
              <a16:creationId xmlns:a16="http://schemas.microsoft.com/office/drawing/2014/main" id="{BD13B830-BEFA-48D5-843B-9CE291BB8438}"/>
            </a:ext>
          </a:extLst>
        </xdr:cNvPr>
        <xdr:cNvGrpSpPr/>
      </xdr:nvGrpSpPr>
      <xdr:grpSpPr>
        <a:xfrm>
          <a:off x="15785553" y="1922318"/>
          <a:ext cx="1037684" cy="866259"/>
          <a:chOff x="7623418" y="2467632"/>
          <a:chExt cx="1034665" cy="863203"/>
        </a:xfrm>
      </xdr:grpSpPr>
      <xdr:grpSp>
        <xdr:nvGrpSpPr>
          <xdr:cNvPr id="185" name="Agrupar 184">
            <a:extLst>
              <a:ext uri="{FF2B5EF4-FFF2-40B4-BE49-F238E27FC236}">
                <a16:creationId xmlns:a16="http://schemas.microsoft.com/office/drawing/2014/main" id="{807D6D44-B8ED-96D0-A67D-0E064BC8BA2E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187" name="Retângulo 186">
              <a:extLst>
                <a:ext uri="{FF2B5EF4-FFF2-40B4-BE49-F238E27FC236}">
                  <a16:creationId xmlns:a16="http://schemas.microsoft.com/office/drawing/2014/main" id="{544BEBE9-DE91-E12C-B711-DD6FF955FEE3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8" name="CaixaDeTexto 187">
              <a:extLst>
                <a:ext uri="{FF2B5EF4-FFF2-40B4-BE49-F238E27FC236}">
                  <a16:creationId xmlns:a16="http://schemas.microsoft.com/office/drawing/2014/main" id="{B22A7631-785E-CDC9-5FAA-8E6EFF894D7F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186" name="Imagem 185">
            <a:extLst>
              <a:ext uri="{FF2B5EF4-FFF2-40B4-BE49-F238E27FC236}">
                <a16:creationId xmlns:a16="http://schemas.microsoft.com/office/drawing/2014/main" id="{D8E5F706-DBA7-42C4-9515-A729744077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386395</xdr:colOff>
      <xdr:row>5</xdr:row>
      <xdr:rowOff>11028</xdr:rowOff>
    </xdr:from>
    <xdr:to>
      <xdr:col>29</xdr:col>
      <xdr:colOff>311782</xdr:colOff>
      <xdr:row>6</xdr:row>
      <xdr:rowOff>4449</xdr:rowOff>
    </xdr:to>
    <xdr:grpSp>
      <xdr:nvGrpSpPr>
        <xdr:cNvPr id="189" name="Agrupar 188">
          <a:extLst>
            <a:ext uri="{FF2B5EF4-FFF2-40B4-BE49-F238E27FC236}">
              <a16:creationId xmlns:a16="http://schemas.microsoft.com/office/drawing/2014/main" id="{4C1CB72D-866F-48CD-94BF-D45CCDB99634}"/>
            </a:ext>
          </a:extLst>
        </xdr:cNvPr>
        <xdr:cNvGrpSpPr/>
      </xdr:nvGrpSpPr>
      <xdr:grpSpPr>
        <a:xfrm>
          <a:off x="16752077" y="1933346"/>
          <a:ext cx="1137660" cy="859330"/>
          <a:chOff x="7441106" y="2890839"/>
          <a:chExt cx="1139825" cy="839477"/>
        </a:xfrm>
      </xdr:grpSpPr>
      <xdr:grpSp>
        <xdr:nvGrpSpPr>
          <xdr:cNvPr id="190" name="Agrupar 189">
            <a:extLst>
              <a:ext uri="{FF2B5EF4-FFF2-40B4-BE49-F238E27FC236}">
                <a16:creationId xmlns:a16="http://schemas.microsoft.com/office/drawing/2014/main" id="{AA54C93A-372E-BAAC-FFC3-064B7461FF7E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192" name="Retângulo 191">
              <a:extLst>
                <a:ext uri="{FF2B5EF4-FFF2-40B4-BE49-F238E27FC236}">
                  <a16:creationId xmlns:a16="http://schemas.microsoft.com/office/drawing/2014/main" id="{CB185F25-BFDE-07A8-E3ED-300981F99C0C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3" name="CaixaDeTexto 192">
              <a:extLst>
                <a:ext uri="{FF2B5EF4-FFF2-40B4-BE49-F238E27FC236}">
                  <a16:creationId xmlns:a16="http://schemas.microsoft.com/office/drawing/2014/main" id="{3E8D65DE-4E30-DBCD-7D6D-3E8D7534B0D7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191" name="Imagem 190">
            <a:extLst>
              <a:ext uri="{FF2B5EF4-FFF2-40B4-BE49-F238E27FC236}">
                <a16:creationId xmlns:a16="http://schemas.microsoft.com/office/drawing/2014/main" id="{0672E487-B596-B1E2-D6CB-A338D3F4E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12</xdr:col>
      <xdr:colOff>548783</xdr:colOff>
      <xdr:row>6</xdr:row>
      <xdr:rowOff>4117</xdr:rowOff>
    </xdr:from>
    <xdr:ext cx="3459409" cy="483722"/>
    <xdr:sp macro="" textlink="">
      <xdr:nvSpPr>
        <xdr:cNvPr id="194" name="CaixaDeTexto 193">
          <a:extLst>
            <a:ext uri="{FF2B5EF4-FFF2-40B4-BE49-F238E27FC236}">
              <a16:creationId xmlns:a16="http://schemas.microsoft.com/office/drawing/2014/main" id="{9B33770B-B167-4A34-BE0F-9E4CB000997A}"/>
            </a:ext>
          </a:extLst>
        </xdr:cNvPr>
        <xdr:cNvSpPr txBox="1"/>
      </xdr:nvSpPr>
      <xdr:spPr>
        <a:xfrm>
          <a:off x="7978283" y="2766367"/>
          <a:ext cx="3459409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Barramentos</a:t>
          </a:r>
        </a:p>
      </xdr:txBody>
    </xdr:sp>
    <xdr:clientData/>
  </xdr:oneCellAnchor>
  <xdr:twoCellAnchor>
    <xdr:from>
      <xdr:col>11</xdr:col>
      <xdr:colOff>302559</xdr:colOff>
      <xdr:row>5</xdr:row>
      <xdr:rowOff>1</xdr:rowOff>
    </xdr:from>
    <xdr:to>
      <xdr:col>13</xdr:col>
      <xdr:colOff>110948</xdr:colOff>
      <xdr:row>6</xdr:row>
      <xdr:rowOff>352</xdr:rowOff>
    </xdr:to>
    <xdr:grpSp>
      <xdr:nvGrpSpPr>
        <xdr:cNvPr id="195" name="Agrupar 194">
          <a:extLst>
            <a:ext uri="{FF2B5EF4-FFF2-40B4-BE49-F238E27FC236}">
              <a16:creationId xmlns:a16="http://schemas.microsoft.com/office/drawing/2014/main" id="{A92BD7DE-B82F-4D9F-A8DB-BA6E52BC52B0}"/>
            </a:ext>
          </a:extLst>
        </xdr:cNvPr>
        <xdr:cNvGrpSpPr/>
      </xdr:nvGrpSpPr>
      <xdr:grpSpPr>
        <a:xfrm>
          <a:off x="6970059" y="1922319"/>
          <a:ext cx="1020662" cy="866260"/>
          <a:chOff x="7444777" y="-23092"/>
          <a:chExt cx="1030879" cy="893765"/>
        </a:xfrm>
      </xdr:grpSpPr>
      <xdr:sp macro="" textlink="">
        <xdr:nvSpPr>
          <xdr:cNvPr id="196" name="Retângulo 195">
            <a:extLst>
              <a:ext uri="{FF2B5EF4-FFF2-40B4-BE49-F238E27FC236}">
                <a16:creationId xmlns:a16="http://schemas.microsoft.com/office/drawing/2014/main" id="{1E5975CC-3502-1368-384A-0DB0C13F5118}"/>
              </a:ext>
            </a:extLst>
          </xdr:cNvPr>
          <xdr:cNvSpPr/>
        </xdr:nvSpPr>
        <xdr:spPr>
          <a:xfrm>
            <a:off x="7444777" y="-23092"/>
            <a:ext cx="1030879" cy="89376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7" name="Imagem 196">
            <a:extLst>
              <a:ext uri="{FF2B5EF4-FFF2-40B4-BE49-F238E27FC236}">
                <a16:creationId xmlns:a16="http://schemas.microsoft.com/office/drawing/2014/main" id="{D9021219-F279-3712-CDAF-4FAFFBA2372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saturation sat="98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69433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198" name="CaixaDeTexto 197">
            <a:extLst>
              <a:ext uri="{FF2B5EF4-FFF2-40B4-BE49-F238E27FC236}">
                <a16:creationId xmlns:a16="http://schemas.microsoft.com/office/drawing/2014/main" id="{32106454-BB96-56C0-BDA1-788CA100A2EA}"/>
              </a:ext>
            </a:extLst>
          </xdr:cNvPr>
          <xdr:cNvSpPr txBox="1"/>
        </xdr:nvSpPr>
        <xdr:spPr>
          <a:xfrm>
            <a:off x="7470341" y="528204"/>
            <a:ext cx="980386" cy="2855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rgbClr val="151316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0</xdr:col>
      <xdr:colOff>0</xdr:colOff>
      <xdr:row>10</xdr:row>
      <xdr:rowOff>0</xdr:rowOff>
    </xdr:from>
    <xdr:to>
      <xdr:col>4</xdr:col>
      <xdr:colOff>129210</xdr:colOff>
      <xdr:row>10</xdr:row>
      <xdr:rowOff>861390</xdr:rowOff>
    </xdr:to>
    <xdr:sp macro="" textlink="">
      <xdr:nvSpPr>
        <xdr:cNvPr id="199" name="Retângulo 198">
          <a:extLst>
            <a:ext uri="{FF2B5EF4-FFF2-40B4-BE49-F238E27FC236}">
              <a16:creationId xmlns:a16="http://schemas.microsoft.com/office/drawing/2014/main" id="{997AC7F1-7589-48F7-B6FC-CDE5DAD29F5B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152687</xdr:colOff>
      <xdr:row>10</xdr:row>
      <xdr:rowOff>44868</xdr:rowOff>
    </xdr:from>
    <xdr:to>
      <xdr:col>1</xdr:col>
      <xdr:colOff>198951</xdr:colOff>
      <xdr:row>10</xdr:row>
      <xdr:rowOff>744273</xdr:rowOff>
    </xdr:to>
    <xdr:sp macro="" textlink="">
      <xdr:nvSpPr>
        <xdr:cNvPr id="200" name="Raio 199">
          <a:extLst>
            <a:ext uri="{FF2B5EF4-FFF2-40B4-BE49-F238E27FC236}">
              <a16:creationId xmlns:a16="http://schemas.microsoft.com/office/drawing/2014/main" id="{4461DEB8-1A7A-4D43-8FF4-58F63B64B7E0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195056</xdr:colOff>
      <xdr:row>10</xdr:row>
      <xdr:rowOff>88624</xdr:rowOff>
    </xdr:from>
    <xdr:to>
      <xdr:col>10</xdr:col>
      <xdr:colOff>65546</xdr:colOff>
      <xdr:row>10</xdr:row>
      <xdr:rowOff>681863</xdr:rowOff>
    </xdr:to>
    <xdr:sp macro="" textlink="">
      <xdr:nvSpPr>
        <xdr:cNvPr id="201" name="CaixaDeTexto 200">
          <a:extLst>
            <a:ext uri="{FF2B5EF4-FFF2-40B4-BE49-F238E27FC236}">
              <a16:creationId xmlns:a16="http://schemas.microsoft.com/office/drawing/2014/main" id="{94DF75B6-3377-497E-A467-D8EA1E1B7F60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twoCellAnchor>
  <xdr:twoCellAnchor editAs="oneCell">
    <xdr:from>
      <xdr:col>11</xdr:col>
      <xdr:colOff>281632</xdr:colOff>
      <xdr:row>10</xdr:row>
      <xdr:rowOff>0</xdr:rowOff>
    </xdr:from>
    <xdr:to>
      <xdr:col>13</xdr:col>
      <xdr:colOff>156332</xdr:colOff>
      <xdr:row>11</xdr:row>
      <xdr:rowOff>350</xdr:rowOff>
    </xdr:to>
    <xdr:grpSp>
      <xdr:nvGrpSpPr>
        <xdr:cNvPr id="202" name="Agrupar 201">
          <a:extLst>
            <a:ext uri="{FF2B5EF4-FFF2-40B4-BE49-F238E27FC236}">
              <a16:creationId xmlns:a16="http://schemas.microsoft.com/office/drawing/2014/main" id="{F7241657-C1B7-41DF-A5CA-3C1994856904}"/>
            </a:ext>
          </a:extLst>
        </xdr:cNvPr>
        <xdr:cNvGrpSpPr/>
      </xdr:nvGrpSpPr>
      <xdr:grpSpPr>
        <a:xfrm>
          <a:off x="6949132" y="3844636"/>
          <a:ext cx="1086973" cy="866259"/>
          <a:chOff x="7411601" y="0"/>
          <a:chExt cx="1097234" cy="870672"/>
        </a:xfrm>
      </xdr:grpSpPr>
      <xdr:sp macro="" textlink="">
        <xdr:nvSpPr>
          <xdr:cNvPr id="203" name="Retângulo 202">
            <a:extLst>
              <a:ext uri="{FF2B5EF4-FFF2-40B4-BE49-F238E27FC236}">
                <a16:creationId xmlns:a16="http://schemas.microsoft.com/office/drawing/2014/main" id="{19787EA7-2AA3-4107-9337-AFB9A247A953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04" name="Imagem 203">
            <a:extLst>
              <a:ext uri="{FF2B5EF4-FFF2-40B4-BE49-F238E27FC236}">
                <a16:creationId xmlns:a16="http://schemas.microsoft.com/office/drawing/2014/main" id="{2FCFCB18-F35E-5887-7A94-E3F505A15A9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205" name="CaixaDeTexto 204">
            <a:extLst>
              <a:ext uri="{FF2B5EF4-FFF2-40B4-BE49-F238E27FC236}">
                <a16:creationId xmlns:a16="http://schemas.microsoft.com/office/drawing/2014/main" id="{BC346C2E-283B-BE8C-B00D-E08A59F1A972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oneCell">
    <xdr:from>
      <xdr:col>15</xdr:col>
      <xdr:colOff>23739</xdr:colOff>
      <xdr:row>10</xdr:row>
      <xdr:rowOff>0</xdr:rowOff>
    </xdr:from>
    <xdr:to>
      <xdr:col>16</xdr:col>
      <xdr:colOff>444153</xdr:colOff>
      <xdr:row>11</xdr:row>
      <xdr:rowOff>350</xdr:rowOff>
    </xdr:to>
    <xdr:grpSp>
      <xdr:nvGrpSpPr>
        <xdr:cNvPr id="211" name="Agrupar 210">
          <a:extLst>
            <a:ext uri="{FF2B5EF4-FFF2-40B4-BE49-F238E27FC236}">
              <a16:creationId xmlns:a16="http://schemas.microsoft.com/office/drawing/2014/main" id="{5D863FBF-D053-4093-8A8D-471BCDBC4804}"/>
            </a:ext>
          </a:extLst>
        </xdr:cNvPr>
        <xdr:cNvGrpSpPr/>
      </xdr:nvGrpSpPr>
      <xdr:grpSpPr>
        <a:xfrm>
          <a:off x="9115784" y="3844636"/>
          <a:ext cx="1026551" cy="866259"/>
          <a:chOff x="10249990" y="1546698"/>
          <a:chExt cx="1026770" cy="863203"/>
        </a:xfrm>
      </xdr:grpSpPr>
      <xdr:grpSp>
        <xdr:nvGrpSpPr>
          <xdr:cNvPr id="212" name="Agrupar 211">
            <a:extLst>
              <a:ext uri="{FF2B5EF4-FFF2-40B4-BE49-F238E27FC236}">
                <a16:creationId xmlns:a16="http://schemas.microsoft.com/office/drawing/2014/main" id="{2895226C-855F-F4F8-F63B-C478A04869D0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214" name="Retângulo 213">
              <a:extLst>
                <a:ext uri="{FF2B5EF4-FFF2-40B4-BE49-F238E27FC236}">
                  <a16:creationId xmlns:a16="http://schemas.microsoft.com/office/drawing/2014/main" id="{1C5079BC-3128-FC7D-BDE6-7DD049478CB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5" name="CaixaDeTexto 214">
              <a:extLst>
                <a:ext uri="{FF2B5EF4-FFF2-40B4-BE49-F238E27FC236}">
                  <a16:creationId xmlns:a16="http://schemas.microsoft.com/office/drawing/2014/main" id="{4165372D-52B9-EA9F-B678-C5C20E1D93CC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213" name="Imagem 212">
            <a:extLst>
              <a:ext uri="{FF2B5EF4-FFF2-40B4-BE49-F238E27FC236}">
                <a16:creationId xmlns:a16="http://schemas.microsoft.com/office/drawing/2014/main" id="{E2896DC7-1633-B386-1D33-0B4E1BDA3D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372993</xdr:colOff>
      <xdr:row>10</xdr:row>
      <xdr:rowOff>0</xdr:rowOff>
    </xdr:from>
    <xdr:to>
      <xdr:col>18</xdr:col>
      <xdr:colOff>185652</xdr:colOff>
      <xdr:row>11</xdr:row>
      <xdr:rowOff>350</xdr:rowOff>
    </xdr:to>
    <xdr:grpSp>
      <xdr:nvGrpSpPr>
        <xdr:cNvPr id="216" name="Agrupar 215">
          <a:extLst>
            <a:ext uri="{FF2B5EF4-FFF2-40B4-BE49-F238E27FC236}">
              <a16:creationId xmlns:a16="http://schemas.microsoft.com/office/drawing/2014/main" id="{FFF229F9-3A8B-4E50-868B-23A4E6024C77}"/>
            </a:ext>
          </a:extLst>
        </xdr:cNvPr>
        <xdr:cNvGrpSpPr/>
      </xdr:nvGrpSpPr>
      <xdr:grpSpPr>
        <a:xfrm>
          <a:off x="10071175" y="3844636"/>
          <a:ext cx="1024932" cy="866259"/>
          <a:chOff x="9899139" y="1970356"/>
          <a:chExt cx="1028548" cy="863203"/>
        </a:xfrm>
      </xdr:grpSpPr>
      <xdr:grpSp>
        <xdr:nvGrpSpPr>
          <xdr:cNvPr id="217" name="Agrupar 216">
            <a:extLst>
              <a:ext uri="{FF2B5EF4-FFF2-40B4-BE49-F238E27FC236}">
                <a16:creationId xmlns:a16="http://schemas.microsoft.com/office/drawing/2014/main" id="{EBD16586-C925-3AC6-D538-91A711F659DE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219" name="Retângulo 218">
              <a:extLst>
                <a:ext uri="{FF2B5EF4-FFF2-40B4-BE49-F238E27FC236}">
                  <a16:creationId xmlns:a16="http://schemas.microsoft.com/office/drawing/2014/main" id="{BD8C300B-B4DC-6319-9CF3-BB243EE6EC4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0" name="CaixaDeTexto 219">
              <a:extLst>
                <a:ext uri="{FF2B5EF4-FFF2-40B4-BE49-F238E27FC236}">
                  <a16:creationId xmlns:a16="http://schemas.microsoft.com/office/drawing/2014/main" id="{04A669FB-49D9-D1C8-2E2D-8F992B05780B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218" name="Imagem 217">
            <a:extLst>
              <a:ext uri="{FF2B5EF4-FFF2-40B4-BE49-F238E27FC236}">
                <a16:creationId xmlns:a16="http://schemas.microsoft.com/office/drawing/2014/main" id="{25B63ACC-DAC3-9A3C-32EA-411D288D3B2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114492</xdr:colOff>
      <xdr:row>10</xdr:row>
      <xdr:rowOff>0</xdr:rowOff>
    </xdr:from>
    <xdr:to>
      <xdr:col>19</xdr:col>
      <xdr:colOff>535440</xdr:colOff>
      <xdr:row>11</xdr:row>
      <xdr:rowOff>350</xdr:rowOff>
    </xdr:to>
    <xdr:grpSp>
      <xdr:nvGrpSpPr>
        <xdr:cNvPr id="221" name="Agrupar 220">
          <a:extLst>
            <a:ext uri="{FF2B5EF4-FFF2-40B4-BE49-F238E27FC236}">
              <a16:creationId xmlns:a16="http://schemas.microsoft.com/office/drawing/2014/main" id="{DA8669B8-18EE-4823-A1EB-284C749B5623}"/>
            </a:ext>
          </a:extLst>
        </xdr:cNvPr>
        <xdr:cNvGrpSpPr/>
      </xdr:nvGrpSpPr>
      <xdr:grpSpPr>
        <a:xfrm>
          <a:off x="11024947" y="3844636"/>
          <a:ext cx="1027084" cy="866259"/>
          <a:chOff x="10613252" y="3484008"/>
          <a:chExt cx="1034639" cy="863203"/>
        </a:xfrm>
      </xdr:grpSpPr>
      <xdr:grpSp>
        <xdr:nvGrpSpPr>
          <xdr:cNvPr id="222" name="Agrupar 221">
            <a:extLst>
              <a:ext uri="{FF2B5EF4-FFF2-40B4-BE49-F238E27FC236}">
                <a16:creationId xmlns:a16="http://schemas.microsoft.com/office/drawing/2014/main" id="{3985E073-AE31-F740-9B10-810327F10D64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224" name="Retângulo 223">
              <a:extLst>
                <a:ext uri="{FF2B5EF4-FFF2-40B4-BE49-F238E27FC236}">
                  <a16:creationId xmlns:a16="http://schemas.microsoft.com/office/drawing/2014/main" id="{7CEA7CEF-B0A1-BEC5-2BAF-B99DD866F890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5" name="CaixaDeTexto 224">
              <a:extLst>
                <a:ext uri="{FF2B5EF4-FFF2-40B4-BE49-F238E27FC236}">
                  <a16:creationId xmlns:a16="http://schemas.microsoft.com/office/drawing/2014/main" id="{AF6FEEDD-B26A-2C52-844D-C8F97EDA9277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223" name="Imagem 222">
            <a:extLst>
              <a:ext uri="{FF2B5EF4-FFF2-40B4-BE49-F238E27FC236}">
                <a16:creationId xmlns:a16="http://schemas.microsoft.com/office/drawing/2014/main" id="{8010B9FB-C5BF-952F-16BF-C69CC2D1B9E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 editAs="oneCell">
    <xdr:from>
      <xdr:col>19</xdr:col>
      <xdr:colOff>464280</xdr:colOff>
      <xdr:row>10</xdr:row>
      <xdr:rowOff>0</xdr:rowOff>
    </xdr:from>
    <xdr:to>
      <xdr:col>21</xdr:col>
      <xdr:colOff>278405</xdr:colOff>
      <xdr:row>11</xdr:row>
      <xdr:rowOff>350</xdr:rowOff>
    </xdr:to>
    <xdr:grpSp>
      <xdr:nvGrpSpPr>
        <xdr:cNvPr id="226" name="Agrupar 225">
          <a:extLst>
            <a:ext uri="{FF2B5EF4-FFF2-40B4-BE49-F238E27FC236}">
              <a16:creationId xmlns:a16="http://schemas.microsoft.com/office/drawing/2014/main" id="{A2F49D63-6CDC-421D-9579-B173D5B4159F}"/>
            </a:ext>
          </a:extLst>
        </xdr:cNvPr>
        <xdr:cNvGrpSpPr/>
      </xdr:nvGrpSpPr>
      <xdr:grpSpPr>
        <a:xfrm>
          <a:off x="11980871" y="3844636"/>
          <a:ext cx="1026398" cy="866259"/>
          <a:chOff x="10744060" y="2050831"/>
          <a:chExt cx="1032640" cy="863203"/>
        </a:xfrm>
      </xdr:grpSpPr>
      <xdr:grpSp>
        <xdr:nvGrpSpPr>
          <xdr:cNvPr id="227" name="Agrupar 226">
            <a:extLst>
              <a:ext uri="{FF2B5EF4-FFF2-40B4-BE49-F238E27FC236}">
                <a16:creationId xmlns:a16="http://schemas.microsoft.com/office/drawing/2014/main" id="{94D7B5E9-B987-686B-AD10-63DAD72A31E9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229" name="Retângulo 228">
              <a:extLst>
                <a:ext uri="{FF2B5EF4-FFF2-40B4-BE49-F238E27FC236}">
                  <a16:creationId xmlns:a16="http://schemas.microsoft.com/office/drawing/2014/main" id="{D23F4B9D-ADC0-B976-5D28-DC3828E1343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0" name="CaixaDeTexto 229">
              <a:extLst>
                <a:ext uri="{FF2B5EF4-FFF2-40B4-BE49-F238E27FC236}">
                  <a16:creationId xmlns:a16="http://schemas.microsoft.com/office/drawing/2014/main" id="{223A209E-B669-6707-54AD-91681CC47402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228" name="Imagem 227">
            <a:extLst>
              <a:ext uri="{FF2B5EF4-FFF2-40B4-BE49-F238E27FC236}">
                <a16:creationId xmlns:a16="http://schemas.microsoft.com/office/drawing/2014/main" id="{2688A50E-F042-0FF8-A7A3-37A31E0F19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550017</xdr:colOff>
      <xdr:row>10</xdr:row>
      <xdr:rowOff>0</xdr:rowOff>
    </xdr:from>
    <xdr:to>
      <xdr:col>24</xdr:col>
      <xdr:colOff>357516</xdr:colOff>
      <xdr:row>11</xdr:row>
      <xdr:rowOff>350</xdr:rowOff>
    </xdr:to>
    <xdr:grpSp>
      <xdr:nvGrpSpPr>
        <xdr:cNvPr id="231" name="Agrupar 230">
          <a:extLst>
            <a:ext uri="{FF2B5EF4-FFF2-40B4-BE49-F238E27FC236}">
              <a16:creationId xmlns:a16="http://schemas.microsoft.com/office/drawing/2014/main" id="{B7451EEF-8B2C-4FF9-A30C-2C22B776614D}"/>
            </a:ext>
          </a:extLst>
        </xdr:cNvPr>
        <xdr:cNvGrpSpPr/>
      </xdr:nvGrpSpPr>
      <xdr:grpSpPr>
        <a:xfrm>
          <a:off x="13885017" y="3844636"/>
          <a:ext cx="1019772" cy="866259"/>
          <a:chOff x="10666547" y="1933904"/>
          <a:chExt cx="1032640" cy="863203"/>
        </a:xfrm>
      </xdr:grpSpPr>
      <xdr:grpSp>
        <xdr:nvGrpSpPr>
          <xdr:cNvPr id="232" name="Agrupar 231">
            <a:extLst>
              <a:ext uri="{FF2B5EF4-FFF2-40B4-BE49-F238E27FC236}">
                <a16:creationId xmlns:a16="http://schemas.microsoft.com/office/drawing/2014/main" id="{BAAB6407-8091-CCA6-2D0A-5EFD4C7CA950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234" name="Retângulo 233">
              <a:extLst>
                <a:ext uri="{FF2B5EF4-FFF2-40B4-BE49-F238E27FC236}">
                  <a16:creationId xmlns:a16="http://schemas.microsoft.com/office/drawing/2014/main" id="{0D344CE3-634A-750A-642D-63E4C4D55D50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5" name="CaixaDeTexto 234">
              <a:extLst>
                <a:ext uri="{FF2B5EF4-FFF2-40B4-BE49-F238E27FC236}">
                  <a16:creationId xmlns:a16="http://schemas.microsoft.com/office/drawing/2014/main" id="{6A9D8715-DE6A-900C-2BDF-846841E78FFD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233" name="Imagem 232">
            <a:extLst>
              <a:ext uri="{FF2B5EF4-FFF2-40B4-BE49-F238E27FC236}">
                <a16:creationId xmlns:a16="http://schemas.microsoft.com/office/drawing/2014/main" id="{1B44709C-3B51-7DCB-287D-A5CF1CF29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24</xdr:col>
      <xdr:colOff>286356</xdr:colOff>
      <xdr:row>10</xdr:row>
      <xdr:rowOff>0</xdr:rowOff>
    </xdr:from>
    <xdr:to>
      <xdr:col>26</xdr:col>
      <xdr:colOff>97168</xdr:colOff>
      <xdr:row>11</xdr:row>
      <xdr:rowOff>350</xdr:rowOff>
    </xdr:to>
    <xdr:grpSp>
      <xdr:nvGrpSpPr>
        <xdr:cNvPr id="236" name="Agrupar 235">
          <a:extLst>
            <a:ext uri="{FF2B5EF4-FFF2-40B4-BE49-F238E27FC236}">
              <a16:creationId xmlns:a16="http://schemas.microsoft.com/office/drawing/2014/main" id="{0055FA6D-897D-4470-8059-A80E81C185AF}"/>
            </a:ext>
          </a:extLst>
        </xdr:cNvPr>
        <xdr:cNvGrpSpPr/>
      </xdr:nvGrpSpPr>
      <xdr:grpSpPr>
        <a:xfrm>
          <a:off x="14833629" y="3844636"/>
          <a:ext cx="1023084" cy="866259"/>
          <a:chOff x="10666547" y="1933904"/>
          <a:chExt cx="1032640" cy="863203"/>
        </a:xfrm>
      </xdr:grpSpPr>
      <xdr:grpSp>
        <xdr:nvGrpSpPr>
          <xdr:cNvPr id="237" name="Agrupar 236">
            <a:extLst>
              <a:ext uri="{FF2B5EF4-FFF2-40B4-BE49-F238E27FC236}">
                <a16:creationId xmlns:a16="http://schemas.microsoft.com/office/drawing/2014/main" id="{C0A808EB-66B9-45E2-F7F5-1FFEFCAA3890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239" name="Retângulo 238">
              <a:extLst>
                <a:ext uri="{FF2B5EF4-FFF2-40B4-BE49-F238E27FC236}">
                  <a16:creationId xmlns:a16="http://schemas.microsoft.com/office/drawing/2014/main" id="{4166FD86-2340-9A3A-499A-87F97B51B08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0" name="CaixaDeTexto 239">
              <a:extLst>
                <a:ext uri="{FF2B5EF4-FFF2-40B4-BE49-F238E27FC236}">
                  <a16:creationId xmlns:a16="http://schemas.microsoft.com/office/drawing/2014/main" id="{068114AB-8315-8B68-9F00-6EF747DB5C80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238" name="Imagem 237">
            <a:extLst>
              <a:ext uri="{FF2B5EF4-FFF2-40B4-BE49-F238E27FC236}">
                <a16:creationId xmlns:a16="http://schemas.microsoft.com/office/drawing/2014/main" id="{D5E0C8BB-F71C-45E4-8118-5B9530BB33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21</xdr:col>
      <xdr:colOff>207245</xdr:colOff>
      <xdr:row>10</xdr:row>
      <xdr:rowOff>0</xdr:rowOff>
    </xdr:from>
    <xdr:to>
      <xdr:col>23</xdr:col>
      <xdr:colOff>16059</xdr:colOff>
      <xdr:row>11</xdr:row>
      <xdr:rowOff>350</xdr:rowOff>
    </xdr:to>
    <xdr:grpSp>
      <xdr:nvGrpSpPr>
        <xdr:cNvPr id="241" name="Agrupar 240">
          <a:extLst>
            <a:ext uri="{FF2B5EF4-FFF2-40B4-BE49-F238E27FC236}">
              <a16:creationId xmlns:a16="http://schemas.microsoft.com/office/drawing/2014/main" id="{DC47C76B-AB3C-4AD0-96FE-83ACE2710651}"/>
            </a:ext>
          </a:extLst>
        </xdr:cNvPr>
        <xdr:cNvGrpSpPr/>
      </xdr:nvGrpSpPr>
      <xdr:grpSpPr>
        <a:xfrm>
          <a:off x="12936109" y="3844636"/>
          <a:ext cx="1021086" cy="866259"/>
          <a:chOff x="10744060" y="2050831"/>
          <a:chExt cx="1032640" cy="863203"/>
        </a:xfrm>
      </xdr:grpSpPr>
      <xdr:grpSp>
        <xdr:nvGrpSpPr>
          <xdr:cNvPr id="242" name="Agrupar 241">
            <a:extLst>
              <a:ext uri="{FF2B5EF4-FFF2-40B4-BE49-F238E27FC236}">
                <a16:creationId xmlns:a16="http://schemas.microsoft.com/office/drawing/2014/main" id="{87AF392B-D392-2337-6065-132CBC1FE3C1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244" name="Retângulo 243">
              <a:extLst>
                <a:ext uri="{FF2B5EF4-FFF2-40B4-BE49-F238E27FC236}">
                  <a16:creationId xmlns:a16="http://schemas.microsoft.com/office/drawing/2014/main" id="{D9BDD4DB-FB4D-A317-4BD0-2876EB161F6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5" name="CaixaDeTexto 244">
              <a:extLst>
                <a:ext uri="{FF2B5EF4-FFF2-40B4-BE49-F238E27FC236}">
                  <a16:creationId xmlns:a16="http://schemas.microsoft.com/office/drawing/2014/main" id="{02BAF974-73FD-EA0C-62B9-C327C51ECB69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243" name="Imagem 242">
            <a:extLst>
              <a:ext uri="{FF2B5EF4-FFF2-40B4-BE49-F238E27FC236}">
                <a16:creationId xmlns:a16="http://schemas.microsoft.com/office/drawing/2014/main" id="{E7A4CC89-7B4C-5D46-F597-81C906E609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490761</xdr:colOff>
      <xdr:row>10</xdr:row>
      <xdr:rowOff>0</xdr:rowOff>
    </xdr:from>
    <xdr:to>
      <xdr:col>11</xdr:col>
      <xdr:colOff>352792</xdr:colOff>
      <xdr:row>11</xdr:row>
      <xdr:rowOff>350</xdr:rowOff>
    </xdr:to>
    <xdr:grpSp>
      <xdr:nvGrpSpPr>
        <xdr:cNvPr id="246" name="Agrupar 245">
          <a:extLst>
            <a:ext uri="{FF2B5EF4-FFF2-40B4-BE49-F238E27FC236}">
              <a16:creationId xmlns:a16="http://schemas.microsoft.com/office/drawing/2014/main" id="{0CFCE619-A1C7-4FA3-BF69-BD6561CE6364}"/>
            </a:ext>
          </a:extLst>
        </xdr:cNvPr>
        <xdr:cNvGrpSpPr/>
      </xdr:nvGrpSpPr>
      <xdr:grpSpPr>
        <a:xfrm>
          <a:off x="5945988" y="3844636"/>
          <a:ext cx="1074304" cy="866259"/>
          <a:chOff x="8052741" y="2471157"/>
          <a:chExt cx="1082687" cy="863203"/>
        </a:xfrm>
      </xdr:grpSpPr>
      <xdr:grpSp>
        <xdr:nvGrpSpPr>
          <xdr:cNvPr id="247" name="Agrupar 246">
            <a:extLst>
              <a:ext uri="{FF2B5EF4-FFF2-40B4-BE49-F238E27FC236}">
                <a16:creationId xmlns:a16="http://schemas.microsoft.com/office/drawing/2014/main" id="{A9038920-D997-6127-EF33-0CD3CE80FF0E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249" name="Retângulo 248">
              <a:extLst>
                <a:ext uri="{FF2B5EF4-FFF2-40B4-BE49-F238E27FC236}">
                  <a16:creationId xmlns:a16="http://schemas.microsoft.com/office/drawing/2014/main" id="{C1FE02A3-A2B1-F5E4-D3B5-109793471491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0" name="CaixaDeTexto 249">
              <a:extLst>
                <a:ext uri="{FF2B5EF4-FFF2-40B4-BE49-F238E27FC236}">
                  <a16:creationId xmlns:a16="http://schemas.microsoft.com/office/drawing/2014/main" id="{5BA3F523-386D-71E1-E1A4-E28238842577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248" name="Imagem 247">
            <a:extLst>
              <a:ext uri="{FF2B5EF4-FFF2-40B4-BE49-F238E27FC236}">
                <a16:creationId xmlns:a16="http://schemas.microsoft.com/office/drawing/2014/main" id="{75D141CF-902C-B98F-F306-FE37508E8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oneCell">
    <xdr:from>
      <xdr:col>26</xdr:col>
      <xdr:colOff>26008</xdr:colOff>
      <xdr:row>10</xdr:row>
      <xdr:rowOff>0</xdr:rowOff>
    </xdr:from>
    <xdr:to>
      <xdr:col>27</xdr:col>
      <xdr:colOff>457555</xdr:colOff>
      <xdr:row>11</xdr:row>
      <xdr:rowOff>350</xdr:rowOff>
    </xdr:to>
    <xdr:grpSp>
      <xdr:nvGrpSpPr>
        <xdr:cNvPr id="251" name="Agrupar 250">
          <a:extLst>
            <a:ext uri="{FF2B5EF4-FFF2-40B4-BE49-F238E27FC236}">
              <a16:creationId xmlns:a16="http://schemas.microsoft.com/office/drawing/2014/main" id="{25A5A2DC-0FE9-4DDA-B329-8A773331AFC2}"/>
            </a:ext>
          </a:extLst>
        </xdr:cNvPr>
        <xdr:cNvGrpSpPr/>
      </xdr:nvGrpSpPr>
      <xdr:grpSpPr>
        <a:xfrm>
          <a:off x="15785553" y="3844636"/>
          <a:ext cx="1037684" cy="866259"/>
          <a:chOff x="7623418" y="2467632"/>
          <a:chExt cx="1034665" cy="863203"/>
        </a:xfrm>
      </xdr:grpSpPr>
      <xdr:grpSp>
        <xdr:nvGrpSpPr>
          <xdr:cNvPr id="252" name="Agrupar 251">
            <a:extLst>
              <a:ext uri="{FF2B5EF4-FFF2-40B4-BE49-F238E27FC236}">
                <a16:creationId xmlns:a16="http://schemas.microsoft.com/office/drawing/2014/main" id="{42F08E31-0514-9886-F4DA-F99018B44750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254" name="Retângulo 253">
              <a:extLst>
                <a:ext uri="{FF2B5EF4-FFF2-40B4-BE49-F238E27FC236}">
                  <a16:creationId xmlns:a16="http://schemas.microsoft.com/office/drawing/2014/main" id="{E3A25D21-A871-1931-496C-BD5049F61DB5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5" name="CaixaDeTexto 254">
              <a:extLst>
                <a:ext uri="{FF2B5EF4-FFF2-40B4-BE49-F238E27FC236}">
                  <a16:creationId xmlns:a16="http://schemas.microsoft.com/office/drawing/2014/main" id="{D48FCF50-9581-9E0B-6798-BA6935BCB387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253" name="Imagem 252">
            <a:extLst>
              <a:ext uri="{FF2B5EF4-FFF2-40B4-BE49-F238E27FC236}">
                <a16:creationId xmlns:a16="http://schemas.microsoft.com/office/drawing/2014/main" id="{9FE8BA80-E88E-22DF-B5FF-A480681170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oneCell">
    <xdr:from>
      <xdr:col>27</xdr:col>
      <xdr:colOff>386395</xdr:colOff>
      <xdr:row>10</xdr:row>
      <xdr:rowOff>11028</xdr:rowOff>
    </xdr:from>
    <xdr:to>
      <xdr:col>29</xdr:col>
      <xdr:colOff>311782</xdr:colOff>
      <xdr:row>11</xdr:row>
      <xdr:rowOff>4449</xdr:rowOff>
    </xdr:to>
    <xdr:grpSp>
      <xdr:nvGrpSpPr>
        <xdr:cNvPr id="256" name="Agrupar 255">
          <a:extLst>
            <a:ext uri="{FF2B5EF4-FFF2-40B4-BE49-F238E27FC236}">
              <a16:creationId xmlns:a16="http://schemas.microsoft.com/office/drawing/2014/main" id="{0644DC5B-5094-4DB8-A939-761D1E1C038E}"/>
            </a:ext>
          </a:extLst>
        </xdr:cNvPr>
        <xdr:cNvGrpSpPr/>
      </xdr:nvGrpSpPr>
      <xdr:grpSpPr>
        <a:xfrm>
          <a:off x="16752077" y="3855664"/>
          <a:ext cx="1137660" cy="859330"/>
          <a:chOff x="7441106" y="2890839"/>
          <a:chExt cx="1139825" cy="839477"/>
        </a:xfrm>
      </xdr:grpSpPr>
      <xdr:grpSp>
        <xdr:nvGrpSpPr>
          <xdr:cNvPr id="257" name="Agrupar 256">
            <a:extLst>
              <a:ext uri="{FF2B5EF4-FFF2-40B4-BE49-F238E27FC236}">
                <a16:creationId xmlns:a16="http://schemas.microsoft.com/office/drawing/2014/main" id="{18DED7A4-97E6-6AAE-A0FF-FD1B740BCE0A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259" name="Retângulo 258">
              <a:extLst>
                <a:ext uri="{FF2B5EF4-FFF2-40B4-BE49-F238E27FC236}">
                  <a16:creationId xmlns:a16="http://schemas.microsoft.com/office/drawing/2014/main" id="{EAED5DCF-77B3-DE77-7F6A-5BE8A806AEF2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0" name="CaixaDeTexto 259">
              <a:extLst>
                <a:ext uri="{FF2B5EF4-FFF2-40B4-BE49-F238E27FC236}">
                  <a16:creationId xmlns:a16="http://schemas.microsoft.com/office/drawing/2014/main" id="{6C28ADDB-DB8E-4511-5D45-EC59B108D80D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258" name="Imagem 257">
            <a:extLst>
              <a:ext uri="{FF2B5EF4-FFF2-40B4-BE49-F238E27FC236}">
                <a16:creationId xmlns:a16="http://schemas.microsoft.com/office/drawing/2014/main" id="{8929AB83-EA8D-B387-5376-AD7E83697E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12</xdr:col>
      <xdr:colOff>286532</xdr:colOff>
      <xdr:row>11</xdr:row>
      <xdr:rowOff>9720</xdr:rowOff>
    </xdr:from>
    <xdr:ext cx="3983911" cy="483722"/>
    <xdr:sp macro="" textlink="">
      <xdr:nvSpPr>
        <xdr:cNvPr id="261" name="CaixaDeTexto 260">
          <a:extLst>
            <a:ext uri="{FF2B5EF4-FFF2-40B4-BE49-F238E27FC236}">
              <a16:creationId xmlns:a16="http://schemas.microsoft.com/office/drawing/2014/main" id="{1CE51794-4402-448B-A8E2-2EAAFBA7290D}"/>
            </a:ext>
          </a:extLst>
        </xdr:cNvPr>
        <xdr:cNvSpPr txBox="1"/>
      </xdr:nvSpPr>
      <xdr:spPr>
        <a:xfrm>
          <a:off x="7716032" y="4676970"/>
          <a:ext cx="3983911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Transformadores</a:t>
          </a:r>
        </a:p>
      </xdr:txBody>
    </xdr:sp>
    <xdr:clientData/>
  </xdr:oneCellAnchor>
  <xdr:twoCellAnchor editAs="oneCell">
    <xdr:from>
      <xdr:col>13</xdr:col>
      <xdr:colOff>81641</xdr:colOff>
      <xdr:row>10</xdr:row>
      <xdr:rowOff>0</xdr:rowOff>
    </xdr:from>
    <xdr:to>
      <xdr:col>15</xdr:col>
      <xdr:colOff>76961</xdr:colOff>
      <xdr:row>11</xdr:row>
      <xdr:rowOff>750</xdr:rowOff>
    </xdr:to>
    <xdr:grpSp>
      <xdr:nvGrpSpPr>
        <xdr:cNvPr id="262" name="Agrupar 261">
          <a:extLst>
            <a:ext uri="{FF2B5EF4-FFF2-40B4-BE49-F238E27FC236}">
              <a16:creationId xmlns:a16="http://schemas.microsoft.com/office/drawing/2014/main" id="{0EEC07CB-949D-4E99-9DC8-7B5555C2CF26}"/>
            </a:ext>
          </a:extLst>
        </xdr:cNvPr>
        <xdr:cNvGrpSpPr/>
      </xdr:nvGrpSpPr>
      <xdr:grpSpPr>
        <a:xfrm>
          <a:off x="7961414" y="3844636"/>
          <a:ext cx="1207592" cy="866659"/>
          <a:chOff x="10965361" y="1520405"/>
          <a:chExt cx="1231803" cy="863203"/>
        </a:xfrm>
      </xdr:grpSpPr>
      <xdr:grpSp>
        <xdr:nvGrpSpPr>
          <xdr:cNvPr id="263" name="Agrupar 262">
            <a:extLst>
              <a:ext uri="{FF2B5EF4-FFF2-40B4-BE49-F238E27FC236}">
                <a16:creationId xmlns:a16="http://schemas.microsoft.com/office/drawing/2014/main" id="{BEA4A92B-6367-503B-AD6E-47BD2A9FBE2F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265" name="Retângulo 264">
              <a:extLst>
                <a:ext uri="{FF2B5EF4-FFF2-40B4-BE49-F238E27FC236}">
                  <a16:creationId xmlns:a16="http://schemas.microsoft.com/office/drawing/2014/main" id="{C4294DF9-5504-56AF-A125-E54356AF1FE1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6" name="CaixaDeTexto 265">
              <a:extLst>
                <a:ext uri="{FF2B5EF4-FFF2-40B4-BE49-F238E27FC236}">
                  <a16:creationId xmlns:a16="http://schemas.microsoft.com/office/drawing/2014/main" id="{65D13DA0-CB58-1302-AE14-541A35FF6F1C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rgbClr val="151316"/>
                  </a:solidFill>
                </a:rPr>
                <a:t>Transformadores</a:t>
              </a:r>
            </a:p>
          </xdr:txBody>
        </xdr:sp>
      </xdr:grpSp>
      <xdr:pic>
        <xdr:nvPicPr>
          <xdr:cNvPr id="264" name="Imagem 263">
            <a:extLst>
              <a:ext uri="{FF2B5EF4-FFF2-40B4-BE49-F238E27FC236}">
                <a16:creationId xmlns:a16="http://schemas.microsoft.com/office/drawing/2014/main" id="{7D99A191-DFE2-3014-8124-7AF7DADFE6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15</xdr:row>
      <xdr:rowOff>0</xdr:rowOff>
    </xdr:from>
    <xdr:to>
      <xdr:col>4</xdr:col>
      <xdr:colOff>129210</xdr:colOff>
      <xdr:row>15</xdr:row>
      <xdr:rowOff>861390</xdr:rowOff>
    </xdr:to>
    <xdr:sp macro="" textlink="">
      <xdr:nvSpPr>
        <xdr:cNvPr id="267" name="Retângulo 266">
          <a:extLst>
            <a:ext uri="{FF2B5EF4-FFF2-40B4-BE49-F238E27FC236}">
              <a16:creationId xmlns:a16="http://schemas.microsoft.com/office/drawing/2014/main" id="{2CFDD218-86EB-4E88-AEA0-820CB29F30F2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15</xdr:row>
      <xdr:rowOff>44868</xdr:rowOff>
    </xdr:from>
    <xdr:to>
      <xdr:col>1</xdr:col>
      <xdr:colOff>198951</xdr:colOff>
      <xdr:row>15</xdr:row>
      <xdr:rowOff>744273</xdr:rowOff>
    </xdr:to>
    <xdr:sp macro="" textlink="">
      <xdr:nvSpPr>
        <xdr:cNvPr id="268" name="Raio 267">
          <a:extLst>
            <a:ext uri="{FF2B5EF4-FFF2-40B4-BE49-F238E27FC236}">
              <a16:creationId xmlns:a16="http://schemas.microsoft.com/office/drawing/2014/main" id="{3EC48BAE-0112-4BFD-918C-EED073E29287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195056</xdr:colOff>
      <xdr:row>15</xdr:row>
      <xdr:rowOff>88624</xdr:rowOff>
    </xdr:from>
    <xdr:to>
      <xdr:col>10</xdr:col>
      <xdr:colOff>65546</xdr:colOff>
      <xdr:row>15</xdr:row>
      <xdr:rowOff>681863</xdr:rowOff>
    </xdr:to>
    <xdr:sp macro="" textlink="">
      <xdr:nvSpPr>
        <xdr:cNvPr id="269" name="CaixaDeTexto 268">
          <a:extLst>
            <a:ext uri="{FF2B5EF4-FFF2-40B4-BE49-F238E27FC236}">
              <a16:creationId xmlns:a16="http://schemas.microsoft.com/office/drawing/2014/main" id="{8B1FD325-F596-4A50-A934-1E41593FA036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twoCellAnchor>
  <xdr:twoCellAnchor editAs="oneCell">
    <xdr:from>
      <xdr:col>11</xdr:col>
      <xdr:colOff>281632</xdr:colOff>
      <xdr:row>15</xdr:row>
      <xdr:rowOff>0</xdr:rowOff>
    </xdr:from>
    <xdr:to>
      <xdr:col>13</xdr:col>
      <xdr:colOff>156332</xdr:colOff>
      <xdr:row>16</xdr:row>
      <xdr:rowOff>350</xdr:rowOff>
    </xdr:to>
    <xdr:grpSp>
      <xdr:nvGrpSpPr>
        <xdr:cNvPr id="270" name="Agrupar 269">
          <a:extLst>
            <a:ext uri="{FF2B5EF4-FFF2-40B4-BE49-F238E27FC236}">
              <a16:creationId xmlns:a16="http://schemas.microsoft.com/office/drawing/2014/main" id="{A4131161-79FC-4642-BFB2-B80CB375074D}"/>
            </a:ext>
          </a:extLst>
        </xdr:cNvPr>
        <xdr:cNvGrpSpPr/>
      </xdr:nvGrpSpPr>
      <xdr:grpSpPr>
        <a:xfrm>
          <a:off x="6949132" y="5766955"/>
          <a:ext cx="1086973" cy="866259"/>
          <a:chOff x="7411601" y="0"/>
          <a:chExt cx="1097234" cy="870672"/>
        </a:xfrm>
      </xdr:grpSpPr>
      <xdr:sp macro="" textlink="">
        <xdr:nvSpPr>
          <xdr:cNvPr id="271" name="Retângulo 270">
            <a:extLst>
              <a:ext uri="{FF2B5EF4-FFF2-40B4-BE49-F238E27FC236}">
                <a16:creationId xmlns:a16="http://schemas.microsoft.com/office/drawing/2014/main" id="{31371C08-EFA2-E2E4-BFD2-2EC49EF5717C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2" name="Imagem 271">
            <a:extLst>
              <a:ext uri="{FF2B5EF4-FFF2-40B4-BE49-F238E27FC236}">
                <a16:creationId xmlns:a16="http://schemas.microsoft.com/office/drawing/2014/main" id="{03FEAB77-2058-6778-01D9-2929946619B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273" name="CaixaDeTexto 272">
            <a:extLst>
              <a:ext uri="{FF2B5EF4-FFF2-40B4-BE49-F238E27FC236}">
                <a16:creationId xmlns:a16="http://schemas.microsoft.com/office/drawing/2014/main" id="{C09C1F69-2C5B-ACBB-D5FD-EE85FDD6E3D3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oneCell">
    <xdr:from>
      <xdr:col>13</xdr:col>
      <xdr:colOff>85172</xdr:colOff>
      <xdr:row>15</xdr:row>
      <xdr:rowOff>0</xdr:rowOff>
    </xdr:from>
    <xdr:to>
      <xdr:col>15</xdr:col>
      <xdr:colOff>94899</xdr:colOff>
      <xdr:row>16</xdr:row>
      <xdr:rowOff>350</xdr:rowOff>
    </xdr:to>
    <xdr:grpSp>
      <xdr:nvGrpSpPr>
        <xdr:cNvPr id="274" name="Agrupar 273">
          <a:extLst>
            <a:ext uri="{FF2B5EF4-FFF2-40B4-BE49-F238E27FC236}">
              <a16:creationId xmlns:a16="http://schemas.microsoft.com/office/drawing/2014/main" id="{BFFF8C9C-DB9E-4155-BA56-3ED6D24EBB0C}"/>
            </a:ext>
          </a:extLst>
        </xdr:cNvPr>
        <xdr:cNvGrpSpPr/>
      </xdr:nvGrpSpPr>
      <xdr:grpSpPr>
        <a:xfrm>
          <a:off x="7964945" y="5766955"/>
          <a:ext cx="1221999" cy="866259"/>
          <a:chOff x="10965361" y="1520405"/>
          <a:chExt cx="1231803" cy="863203"/>
        </a:xfrm>
      </xdr:grpSpPr>
      <xdr:grpSp>
        <xdr:nvGrpSpPr>
          <xdr:cNvPr id="275" name="Agrupar 274">
            <a:extLst>
              <a:ext uri="{FF2B5EF4-FFF2-40B4-BE49-F238E27FC236}">
                <a16:creationId xmlns:a16="http://schemas.microsoft.com/office/drawing/2014/main" id="{611D76EF-8AFE-90F3-8ECB-8E5107432261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277" name="Retângulo 276">
              <a:extLst>
                <a:ext uri="{FF2B5EF4-FFF2-40B4-BE49-F238E27FC236}">
                  <a16:creationId xmlns:a16="http://schemas.microsoft.com/office/drawing/2014/main" id="{F27E2584-E0B6-4A77-A342-B15D2E21976F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8" name="CaixaDeTexto 277">
              <a:extLst>
                <a:ext uri="{FF2B5EF4-FFF2-40B4-BE49-F238E27FC236}">
                  <a16:creationId xmlns:a16="http://schemas.microsoft.com/office/drawing/2014/main" id="{3BB41D42-600A-6995-ED3E-C6CD5B144A90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276" name="Imagem 275">
            <a:extLst>
              <a:ext uri="{FF2B5EF4-FFF2-40B4-BE49-F238E27FC236}">
                <a16:creationId xmlns:a16="http://schemas.microsoft.com/office/drawing/2014/main" id="{3518B693-FC29-5A90-238E-D03C59C24EF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372993</xdr:colOff>
      <xdr:row>15</xdr:row>
      <xdr:rowOff>0</xdr:rowOff>
    </xdr:from>
    <xdr:to>
      <xdr:col>18</xdr:col>
      <xdr:colOff>185652</xdr:colOff>
      <xdr:row>16</xdr:row>
      <xdr:rowOff>350</xdr:rowOff>
    </xdr:to>
    <xdr:grpSp>
      <xdr:nvGrpSpPr>
        <xdr:cNvPr id="284" name="Agrupar 283">
          <a:extLst>
            <a:ext uri="{FF2B5EF4-FFF2-40B4-BE49-F238E27FC236}">
              <a16:creationId xmlns:a16="http://schemas.microsoft.com/office/drawing/2014/main" id="{A820C8BA-B729-4B31-97CF-86961EFDA76B}"/>
            </a:ext>
          </a:extLst>
        </xdr:cNvPr>
        <xdr:cNvGrpSpPr/>
      </xdr:nvGrpSpPr>
      <xdr:grpSpPr>
        <a:xfrm>
          <a:off x="10071175" y="5766955"/>
          <a:ext cx="1024932" cy="866259"/>
          <a:chOff x="9899139" y="1970356"/>
          <a:chExt cx="1028548" cy="863203"/>
        </a:xfrm>
      </xdr:grpSpPr>
      <xdr:grpSp>
        <xdr:nvGrpSpPr>
          <xdr:cNvPr id="285" name="Agrupar 284">
            <a:extLst>
              <a:ext uri="{FF2B5EF4-FFF2-40B4-BE49-F238E27FC236}">
                <a16:creationId xmlns:a16="http://schemas.microsoft.com/office/drawing/2014/main" id="{73E821C3-31E7-149F-D0B9-CD8512F38BF3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287" name="Retângulo 286">
              <a:extLst>
                <a:ext uri="{FF2B5EF4-FFF2-40B4-BE49-F238E27FC236}">
                  <a16:creationId xmlns:a16="http://schemas.microsoft.com/office/drawing/2014/main" id="{B86AD03B-2DAE-19A3-EAE5-0022F68B15E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8" name="CaixaDeTexto 287">
              <a:extLst>
                <a:ext uri="{FF2B5EF4-FFF2-40B4-BE49-F238E27FC236}">
                  <a16:creationId xmlns:a16="http://schemas.microsoft.com/office/drawing/2014/main" id="{1323337F-3265-9F36-3678-1193CCB41485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286" name="Imagem 285">
            <a:extLst>
              <a:ext uri="{FF2B5EF4-FFF2-40B4-BE49-F238E27FC236}">
                <a16:creationId xmlns:a16="http://schemas.microsoft.com/office/drawing/2014/main" id="{61647E1E-2DAA-6E10-F2D1-4C7816E59C3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114492</xdr:colOff>
      <xdr:row>15</xdr:row>
      <xdr:rowOff>0</xdr:rowOff>
    </xdr:from>
    <xdr:to>
      <xdr:col>19</xdr:col>
      <xdr:colOff>535440</xdr:colOff>
      <xdr:row>16</xdr:row>
      <xdr:rowOff>350</xdr:rowOff>
    </xdr:to>
    <xdr:grpSp>
      <xdr:nvGrpSpPr>
        <xdr:cNvPr id="289" name="Agrupar 288">
          <a:extLst>
            <a:ext uri="{FF2B5EF4-FFF2-40B4-BE49-F238E27FC236}">
              <a16:creationId xmlns:a16="http://schemas.microsoft.com/office/drawing/2014/main" id="{FE6DD4EB-8037-467A-9E4B-F3B2D62C58AD}"/>
            </a:ext>
          </a:extLst>
        </xdr:cNvPr>
        <xdr:cNvGrpSpPr/>
      </xdr:nvGrpSpPr>
      <xdr:grpSpPr>
        <a:xfrm>
          <a:off x="11024947" y="5766955"/>
          <a:ext cx="1027084" cy="866259"/>
          <a:chOff x="10613252" y="3484008"/>
          <a:chExt cx="1034639" cy="863203"/>
        </a:xfrm>
      </xdr:grpSpPr>
      <xdr:grpSp>
        <xdr:nvGrpSpPr>
          <xdr:cNvPr id="290" name="Agrupar 289">
            <a:extLst>
              <a:ext uri="{FF2B5EF4-FFF2-40B4-BE49-F238E27FC236}">
                <a16:creationId xmlns:a16="http://schemas.microsoft.com/office/drawing/2014/main" id="{6DAEA6D3-94B4-5A33-531F-5A61ABE2E628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292" name="Retângulo 291">
              <a:extLst>
                <a:ext uri="{FF2B5EF4-FFF2-40B4-BE49-F238E27FC236}">
                  <a16:creationId xmlns:a16="http://schemas.microsoft.com/office/drawing/2014/main" id="{6FCA4BCF-2904-5421-7937-FFB527DFFCA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3" name="CaixaDeTexto 292">
              <a:extLst>
                <a:ext uri="{FF2B5EF4-FFF2-40B4-BE49-F238E27FC236}">
                  <a16:creationId xmlns:a16="http://schemas.microsoft.com/office/drawing/2014/main" id="{6592CA7D-E2E5-FDB1-2B30-A3EC3389F41D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291" name="Imagem 290">
            <a:extLst>
              <a:ext uri="{FF2B5EF4-FFF2-40B4-BE49-F238E27FC236}">
                <a16:creationId xmlns:a16="http://schemas.microsoft.com/office/drawing/2014/main" id="{BF613E2F-8AB7-8C47-FCCE-CC3B2A1E02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 editAs="oneCell">
    <xdr:from>
      <xdr:col>19</xdr:col>
      <xdr:colOff>464280</xdr:colOff>
      <xdr:row>15</xdr:row>
      <xdr:rowOff>0</xdr:rowOff>
    </xdr:from>
    <xdr:to>
      <xdr:col>21</xdr:col>
      <xdr:colOff>278405</xdr:colOff>
      <xdr:row>16</xdr:row>
      <xdr:rowOff>350</xdr:rowOff>
    </xdr:to>
    <xdr:grpSp>
      <xdr:nvGrpSpPr>
        <xdr:cNvPr id="294" name="Agrupar 293">
          <a:extLst>
            <a:ext uri="{FF2B5EF4-FFF2-40B4-BE49-F238E27FC236}">
              <a16:creationId xmlns:a16="http://schemas.microsoft.com/office/drawing/2014/main" id="{EDB0F295-2D44-456D-8219-64B38FE26359}"/>
            </a:ext>
          </a:extLst>
        </xdr:cNvPr>
        <xdr:cNvGrpSpPr/>
      </xdr:nvGrpSpPr>
      <xdr:grpSpPr>
        <a:xfrm>
          <a:off x="11980871" y="5766955"/>
          <a:ext cx="1026398" cy="866259"/>
          <a:chOff x="10744060" y="2050831"/>
          <a:chExt cx="1032640" cy="863203"/>
        </a:xfrm>
      </xdr:grpSpPr>
      <xdr:grpSp>
        <xdr:nvGrpSpPr>
          <xdr:cNvPr id="295" name="Agrupar 294">
            <a:extLst>
              <a:ext uri="{FF2B5EF4-FFF2-40B4-BE49-F238E27FC236}">
                <a16:creationId xmlns:a16="http://schemas.microsoft.com/office/drawing/2014/main" id="{9174F045-DBFA-73C6-0B50-21AD0360C8E4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297" name="Retângulo 296">
              <a:extLst>
                <a:ext uri="{FF2B5EF4-FFF2-40B4-BE49-F238E27FC236}">
                  <a16:creationId xmlns:a16="http://schemas.microsoft.com/office/drawing/2014/main" id="{83599DF2-D94C-117D-6A17-8516C5E43286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8" name="CaixaDeTexto 297">
              <a:extLst>
                <a:ext uri="{FF2B5EF4-FFF2-40B4-BE49-F238E27FC236}">
                  <a16:creationId xmlns:a16="http://schemas.microsoft.com/office/drawing/2014/main" id="{FEAC8D5D-FE35-529A-9D91-1D48FD5234CA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296" name="Imagem 295">
            <a:extLst>
              <a:ext uri="{FF2B5EF4-FFF2-40B4-BE49-F238E27FC236}">
                <a16:creationId xmlns:a16="http://schemas.microsoft.com/office/drawing/2014/main" id="{6282451E-C3F0-ECD7-B924-2FB5900AEA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550017</xdr:colOff>
      <xdr:row>15</xdr:row>
      <xdr:rowOff>0</xdr:rowOff>
    </xdr:from>
    <xdr:to>
      <xdr:col>24</xdr:col>
      <xdr:colOff>357516</xdr:colOff>
      <xdr:row>16</xdr:row>
      <xdr:rowOff>350</xdr:rowOff>
    </xdr:to>
    <xdr:grpSp>
      <xdr:nvGrpSpPr>
        <xdr:cNvPr id="299" name="Agrupar 298">
          <a:extLst>
            <a:ext uri="{FF2B5EF4-FFF2-40B4-BE49-F238E27FC236}">
              <a16:creationId xmlns:a16="http://schemas.microsoft.com/office/drawing/2014/main" id="{4FDF2B2C-50AA-4285-B57D-69A541A86278}"/>
            </a:ext>
          </a:extLst>
        </xdr:cNvPr>
        <xdr:cNvGrpSpPr/>
      </xdr:nvGrpSpPr>
      <xdr:grpSpPr>
        <a:xfrm>
          <a:off x="13885017" y="5766955"/>
          <a:ext cx="1019772" cy="866259"/>
          <a:chOff x="10666547" y="1933904"/>
          <a:chExt cx="1032640" cy="863203"/>
        </a:xfrm>
      </xdr:grpSpPr>
      <xdr:grpSp>
        <xdr:nvGrpSpPr>
          <xdr:cNvPr id="300" name="Agrupar 299">
            <a:extLst>
              <a:ext uri="{FF2B5EF4-FFF2-40B4-BE49-F238E27FC236}">
                <a16:creationId xmlns:a16="http://schemas.microsoft.com/office/drawing/2014/main" id="{991429EB-D16A-2A5C-7D0A-F7712A8BA67F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02" name="Retângulo 301">
              <a:extLst>
                <a:ext uri="{FF2B5EF4-FFF2-40B4-BE49-F238E27FC236}">
                  <a16:creationId xmlns:a16="http://schemas.microsoft.com/office/drawing/2014/main" id="{FF33D26B-CC97-0403-D672-FF34D4A13FF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3" name="CaixaDeTexto 302">
              <a:extLst>
                <a:ext uri="{FF2B5EF4-FFF2-40B4-BE49-F238E27FC236}">
                  <a16:creationId xmlns:a16="http://schemas.microsoft.com/office/drawing/2014/main" id="{3193F474-D197-9DCE-C838-E405F5CD940D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01" name="Imagem 300">
            <a:extLst>
              <a:ext uri="{FF2B5EF4-FFF2-40B4-BE49-F238E27FC236}">
                <a16:creationId xmlns:a16="http://schemas.microsoft.com/office/drawing/2014/main" id="{FDB3FF6E-16C8-5CE0-4096-9AA55663E6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24</xdr:col>
      <xdr:colOff>286356</xdr:colOff>
      <xdr:row>15</xdr:row>
      <xdr:rowOff>0</xdr:rowOff>
    </xdr:from>
    <xdr:to>
      <xdr:col>26</xdr:col>
      <xdr:colOff>97168</xdr:colOff>
      <xdr:row>16</xdr:row>
      <xdr:rowOff>350</xdr:rowOff>
    </xdr:to>
    <xdr:grpSp>
      <xdr:nvGrpSpPr>
        <xdr:cNvPr id="304" name="Agrupar 303">
          <a:extLst>
            <a:ext uri="{FF2B5EF4-FFF2-40B4-BE49-F238E27FC236}">
              <a16:creationId xmlns:a16="http://schemas.microsoft.com/office/drawing/2014/main" id="{7FAFA834-4875-4F78-997D-081DD3388EC5}"/>
            </a:ext>
          </a:extLst>
        </xdr:cNvPr>
        <xdr:cNvGrpSpPr/>
      </xdr:nvGrpSpPr>
      <xdr:grpSpPr>
        <a:xfrm>
          <a:off x="14833629" y="5766955"/>
          <a:ext cx="1023084" cy="866259"/>
          <a:chOff x="10666547" y="1933904"/>
          <a:chExt cx="1032640" cy="863203"/>
        </a:xfrm>
      </xdr:grpSpPr>
      <xdr:grpSp>
        <xdr:nvGrpSpPr>
          <xdr:cNvPr id="305" name="Agrupar 304">
            <a:extLst>
              <a:ext uri="{FF2B5EF4-FFF2-40B4-BE49-F238E27FC236}">
                <a16:creationId xmlns:a16="http://schemas.microsoft.com/office/drawing/2014/main" id="{96EC22C1-8533-98C6-5CF1-6D40A46FAFE5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07" name="Retângulo 306">
              <a:extLst>
                <a:ext uri="{FF2B5EF4-FFF2-40B4-BE49-F238E27FC236}">
                  <a16:creationId xmlns:a16="http://schemas.microsoft.com/office/drawing/2014/main" id="{0C81DB03-F7B0-D0B0-4E5F-489A824E34F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8" name="CaixaDeTexto 307">
              <a:extLst>
                <a:ext uri="{FF2B5EF4-FFF2-40B4-BE49-F238E27FC236}">
                  <a16:creationId xmlns:a16="http://schemas.microsoft.com/office/drawing/2014/main" id="{55C5B064-F814-2457-8827-787383627864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306" name="Imagem 305">
            <a:extLst>
              <a:ext uri="{FF2B5EF4-FFF2-40B4-BE49-F238E27FC236}">
                <a16:creationId xmlns:a16="http://schemas.microsoft.com/office/drawing/2014/main" id="{752F9FD0-0EA4-B65D-04CF-1C497FF33E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21</xdr:col>
      <xdr:colOff>207245</xdr:colOff>
      <xdr:row>15</xdr:row>
      <xdr:rowOff>0</xdr:rowOff>
    </xdr:from>
    <xdr:to>
      <xdr:col>23</xdr:col>
      <xdr:colOff>16059</xdr:colOff>
      <xdr:row>16</xdr:row>
      <xdr:rowOff>350</xdr:rowOff>
    </xdr:to>
    <xdr:grpSp>
      <xdr:nvGrpSpPr>
        <xdr:cNvPr id="309" name="Agrupar 308">
          <a:extLst>
            <a:ext uri="{FF2B5EF4-FFF2-40B4-BE49-F238E27FC236}">
              <a16:creationId xmlns:a16="http://schemas.microsoft.com/office/drawing/2014/main" id="{84673DC6-6DF6-4601-9277-543B50B0B53D}"/>
            </a:ext>
          </a:extLst>
        </xdr:cNvPr>
        <xdr:cNvGrpSpPr/>
      </xdr:nvGrpSpPr>
      <xdr:grpSpPr>
        <a:xfrm>
          <a:off x="12936109" y="5766955"/>
          <a:ext cx="1021086" cy="866259"/>
          <a:chOff x="10744060" y="2050831"/>
          <a:chExt cx="1032640" cy="863203"/>
        </a:xfrm>
      </xdr:grpSpPr>
      <xdr:grpSp>
        <xdr:nvGrpSpPr>
          <xdr:cNvPr id="310" name="Agrupar 309">
            <a:extLst>
              <a:ext uri="{FF2B5EF4-FFF2-40B4-BE49-F238E27FC236}">
                <a16:creationId xmlns:a16="http://schemas.microsoft.com/office/drawing/2014/main" id="{98C341CC-BB6A-564C-AF5D-AA71FBE3FF51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312" name="Retângulo 311">
              <a:extLst>
                <a:ext uri="{FF2B5EF4-FFF2-40B4-BE49-F238E27FC236}">
                  <a16:creationId xmlns:a16="http://schemas.microsoft.com/office/drawing/2014/main" id="{A8E1DFD9-262B-2955-E48B-9CBCF98CFA9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13" name="CaixaDeTexto 312">
              <a:extLst>
                <a:ext uri="{FF2B5EF4-FFF2-40B4-BE49-F238E27FC236}">
                  <a16:creationId xmlns:a16="http://schemas.microsoft.com/office/drawing/2014/main" id="{1FE8F163-895F-9FF8-3993-6D37C340BCC2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11" name="Imagem 310">
            <a:extLst>
              <a:ext uri="{FF2B5EF4-FFF2-40B4-BE49-F238E27FC236}">
                <a16:creationId xmlns:a16="http://schemas.microsoft.com/office/drawing/2014/main" id="{018F620F-7A74-AE58-583B-90FAA4670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490761</xdr:colOff>
      <xdr:row>15</xdr:row>
      <xdr:rowOff>0</xdr:rowOff>
    </xdr:from>
    <xdr:to>
      <xdr:col>11</xdr:col>
      <xdr:colOff>352792</xdr:colOff>
      <xdr:row>16</xdr:row>
      <xdr:rowOff>350</xdr:rowOff>
    </xdr:to>
    <xdr:grpSp>
      <xdr:nvGrpSpPr>
        <xdr:cNvPr id="314" name="Agrupar 313">
          <a:extLst>
            <a:ext uri="{FF2B5EF4-FFF2-40B4-BE49-F238E27FC236}">
              <a16:creationId xmlns:a16="http://schemas.microsoft.com/office/drawing/2014/main" id="{7A1CAADA-8C00-4513-A9F5-817DE86E3952}"/>
            </a:ext>
          </a:extLst>
        </xdr:cNvPr>
        <xdr:cNvGrpSpPr/>
      </xdr:nvGrpSpPr>
      <xdr:grpSpPr>
        <a:xfrm>
          <a:off x="5945988" y="5766955"/>
          <a:ext cx="1074304" cy="866259"/>
          <a:chOff x="8052741" y="2471157"/>
          <a:chExt cx="1082687" cy="863203"/>
        </a:xfrm>
      </xdr:grpSpPr>
      <xdr:grpSp>
        <xdr:nvGrpSpPr>
          <xdr:cNvPr id="315" name="Agrupar 314">
            <a:extLst>
              <a:ext uri="{FF2B5EF4-FFF2-40B4-BE49-F238E27FC236}">
                <a16:creationId xmlns:a16="http://schemas.microsoft.com/office/drawing/2014/main" id="{531D72F0-BD23-A558-DFC6-F9A0B50132F2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317" name="Retângulo 316">
              <a:extLst>
                <a:ext uri="{FF2B5EF4-FFF2-40B4-BE49-F238E27FC236}">
                  <a16:creationId xmlns:a16="http://schemas.microsoft.com/office/drawing/2014/main" id="{8DEDCF46-3925-89E4-D3D5-D859B88182ED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18" name="CaixaDeTexto 317">
              <a:extLst>
                <a:ext uri="{FF2B5EF4-FFF2-40B4-BE49-F238E27FC236}">
                  <a16:creationId xmlns:a16="http://schemas.microsoft.com/office/drawing/2014/main" id="{9C8F7210-255C-F1A8-E75E-842A73330725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316" name="Imagem 315">
            <a:extLst>
              <a:ext uri="{FF2B5EF4-FFF2-40B4-BE49-F238E27FC236}">
                <a16:creationId xmlns:a16="http://schemas.microsoft.com/office/drawing/2014/main" id="{9C57F63F-E936-F911-9893-4B3A1C62E0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oneCell">
    <xdr:from>
      <xdr:col>26</xdr:col>
      <xdr:colOff>26008</xdr:colOff>
      <xdr:row>15</xdr:row>
      <xdr:rowOff>0</xdr:rowOff>
    </xdr:from>
    <xdr:to>
      <xdr:col>27</xdr:col>
      <xdr:colOff>457555</xdr:colOff>
      <xdr:row>16</xdr:row>
      <xdr:rowOff>350</xdr:rowOff>
    </xdr:to>
    <xdr:grpSp>
      <xdr:nvGrpSpPr>
        <xdr:cNvPr id="319" name="Agrupar 318">
          <a:extLst>
            <a:ext uri="{FF2B5EF4-FFF2-40B4-BE49-F238E27FC236}">
              <a16:creationId xmlns:a16="http://schemas.microsoft.com/office/drawing/2014/main" id="{916A6A04-D60B-446E-9099-3618D95FD080}"/>
            </a:ext>
          </a:extLst>
        </xdr:cNvPr>
        <xdr:cNvGrpSpPr/>
      </xdr:nvGrpSpPr>
      <xdr:grpSpPr>
        <a:xfrm>
          <a:off x="15785553" y="5766955"/>
          <a:ext cx="1037684" cy="866259"/>
          <a:chOff x="7623418" y="2467632"/>
          <a:chExt cx="1034665" cy="863203"/>
        </a:xfrm>
      </xdr:grpSpPr>
      <xdr:grpSp>
        <xdr:nvGrpSpPr>
          <xdr:cNvPr id="320" name="Agrupar 319">
            <a:extLst>
              <a:ext uri="{FF2B5EF4-FFF2-40B4-BE49-F238E27FC236}">
                <a16:creationId xmlns:a16="http://schemas.microsoft.com/office/drawing/2014/main" id="{5C05892F-68AD-4CE9-E859-28B0779DDDE8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322" name="Retângulo 321">
              <a:extLst>
                <a:ext uri="{FF2B5EF4-FFF2-40B4-BE49-F238E27FC236}">
                  <a16:creationId xmlns:a16="http://schemas.microsoft.com/office/drawing/2014/main" id="{DF0CC362-ACAF-3F34-C5A5-8599F6D89BDB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3" name="CaixaDeTexto 322">
              <a:extLst>
                <a:ext uri="{FF2B5EF4-FFF2-40B4-BE49-F238E27FC236}">
                  <a16:creationId xmlns:a16="http://schemas.microsoft.com/office/drawing/2014/main" id="{9600C946-D66D-AA08-0F75-8B4823D3BF69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321" name="Imagem 320">
            <a:extLst>
              <a:ext uri="{FF2B5EF4-FFF2-40B4-BE49-F238E27FC236}">
                <a16:creationId xmlns:a16="http://schemas.microsoft.com/office/drawing/2014/main" id="{BBC30CCF-E74B-6B3C-DF49-E35F4541A9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oneCell">
    <xdr:from>
      <xdr:col>27</xdr:col>
      <xdr:colOff>386395</xdr:colOff>
      <xdr:row>15</xdr:row>
      <xdr:rowOff>11028</xdr:rowOff>
    </xdr:from>
    <xdr:to>
      <xdr:col>29</xdr:col>
      <xdr:colOff>311782</xdr:colOff>
      <xdr:row>16</xdr:row>
      <xdr:rowOff>4449</xdr:rowOff>
    </xdr:to>
    <xdr:grpSp>
      <xdr:nvGrpSpPr>
        <xdr:cNvPr id="324" name="Agrupar 323">
          <a:extLst>
            <a:ext uri="{FF2B5EF4-FFF2-40B4-BE49-F238E27FC236}">
              <a16:creationId xmlns:a16="http://schemas.microsoft.com/office/drawing/2014/main" id="{06C2F491-E657-4E51-86B8-632B66388C39}"/>
            </a:ext>
          </a:extLst>
        </xdr:cNvPr>
        <xdr:cNvGrpSpPr/>
      </xdr:nvGrpSpPr>
      <xdr:grpSpPr>
        <a:xfrm>
          <a:off x="16752077" y="5777983"/>
          <a:ext cx="1137660" cy="859330"/>
          <a:chOff x="7441106" y="2890839"/>
          <a:chExt cx="1139825" cy="839477"/>
        </a:xfrm>
      </xdr:grpSpPr>
      <xdr:grpSp>
        <xdr:nvGrpSpPr>
          <xdr:cNvPr id="325" name="Agrupar 324">
            <a:extLst>
              <a:ext uri="{FF2B5EF4-FFF2-40B4-BE49-F238E27FC236}">
                <a16:creationId xmlns:a16="http://schemas.microsoft.com/office/drawing/2014/main" id="{93154B80-9149-4D9D-AE61-0676626EA5A6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327" name="Retângulo 326">
              <a:extLst>
                <a:ext uri="{FF2B5EF4-FFF2-40B4-BE49-F238E27FC236}">
                  <a16:creationId xmlns:a16="http://schemas.microsoft.com/office/drawing/2014/main" id="{E49ACA04-DF39-70AF-9073-0CD0B3CEF81A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8" name="CaixaDeTexto 327">
              <a:extLst>
                <a:ext uri="{FF2B5EF4-FFF2-40B4-BE49-F238E27FC236}">
                  <a16:creationId xmlns:a16="http://schemas.microsoft.com/office/drawing/2014/main" id="{51D9BE88-5283-4221-4FB8-035EBBBC5B13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326" name="Imagem 325">
            <a:extLst>
              <a:ext uri="{FF2B5EF4-FFF2-40B4-BE49-F238E27FC236}">
                <a16:creationId xmlns:a16="http://schemas.microsoft.com/office/drawing/2014/main" id="{B4305E5E-40BA-E1D5-674E-AB6C055477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11</xdr:col>
      <xdr:colOff>542673</xdr:colOff>
      <xdr:row>16</xdr:row>
      <xdr:rowOff>9720</xdr:rowOff>
    </xdr:from>
    <xdr:ext cx="4709879" cy="483722"/>
    <xdr:sp macro="" textlink="">
      <xdr:nvSpPr>
        <xdr:cNvPr id="329" name="CaixaDeTexto 328">
          <a:extLst>
            <a:ext uri="{FF2B5EF4-FFF2-40B4-BE49-F238E27FC236}">
              <a16:creationId xmlns:a16="http://schemas.microsoft.com/office/drawing/2014/main" id="{2FE568B2-E184-4931-B8B3-AFCCB0D37663}"/>
            </a:ext>
          </a:extLst>
        </xdr:cNvPr>
        <xdr:cNvSpPr txBox="1"/>
      </xdr:nvSpPr>
      <xdr:spPr>
        <a:xfrm>
          <a:off x="7353048" y="6581970"/>
          <a:ext cx="4709879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Linhas de Transmissão</a:t>
          </a:r>
        </a:p>
      </xdr:txBody>
    </xdr:sp>
    <xdr:clientData/>
  </xdr:oneCellAnchor>
  <xdr:twoCellAnchor editAs="oneCell">
    <xdr:from>
      <xdr:col>15</xdr:col>
      <xdr:colOff>68035</xdr:colOff>
      <xdr:row>15</xdr:row>
      <xdr:rowOff>0</xdr:rowOff>
    </xdr:from>
    <xdr:to>
      <xdr:col>16</xdr:col>
      <xdr:colOff>476763</xdr:colOff>
      <xdr:row>16</xdr:row>
      <xdr:rowOff>750</xdr:rowOff>
    </xdr:to>
    <xdr:grpSp>
      <xdr:nvGrpSpPr>
        <xdr:cNvPr id="330" name="Agrupar 329">
          <a:extLst>
            <a:ext uri="{FF2B5EF4-FFF2-40B4-BE49-F238E27FC236}">
              <a16:creationId xmlns:a16="http://schemas.microsoft.com/office/drawing/2014/main" id="{C83171CF-B3B8-4BAB-B4F5-68C2F1211F69}"/>
            </a:ext>
          </a:extLst>
        </xdr:cNvPr>
        <xdr:cNvGrpSpPr/>
      </xdr:nvGrpSpPr>
      <xdr:grpSpPr>
        <a:xfrm>
          <a:off x="9160080" y="5766955"/>
          <a:ext cx="1014865" cy="866659"/>
          <a:chOff x="10249990" y="1546698"/>
          <a:chExt cx="1026770" cy="863203"/>
        </a:xfrm>
      </xdr:grpSpPr>
      <xdr:grpSp>
        <xdr:nvGrpSpPr>
          <xdr:cNvPr id="331" name="Agrupar 330">
            <a:extLst>
              <a:ext uri="{FF2B5EF4-FFF2-40B4-BE49-F238E27FC236}">
                <a16:creationId xmlns:a16="http://schemas.microsoft.com/office/drawing/2014/main" id="{EC69A1CE-497B-D81D-16A8-F032C375E1E9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333" name="Retângulo 332">
              <a:extLst>
                <a:ext uri="{FF2B5EF4-FFF2-40B4-BE49-F238E27FC236}">
                  <a16:creationId xmlns:a16="http://schemas.microsoft.com/office/drawing/2014/main" id="{9D7D0D47-823A-14C6-BD5F-DA3CF66034E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4" name="CaixaDeTexto 333">
              <a:extLst>
                <a:ext uri="{FF2B5EF4-FFF2-40B4-BE49-F238E27FC236}">
                  <a16:creationId xmlns:a16="http://schemas.microsoft.com/office/drawing/2014/main" id="{323BA5C9-5AE7-5176-775C-5D257AF1AF0C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Linhas</a:t>
              </a:r>
            </a:p>
          </xdr:txBody>
        </xdr:sp>
      </xdr:grpSp>
      <xdr:pic>
        <xdr:nvPicPr>
          <xdr:cNvPr id="332" name="Imagem 331">
            <a:extLst>
              <a:ext uri="{FF2B5EF4-FFF2-40B4-BE49-F238E27FC236}">
                <a16:creationId xmlns:a16="http://schemas.microsoft.com/office/drawing/2014/main" id="{BE324F38-42A2-8A2D-3E2C-58347F5B7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sharpenSoften amoun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0</xdr:rowOff>
    </xdr:from>
    <xdr:to>
      <xdr:col>4</xdr:col>
      <xdr:colOff>129210</xdr:colOff>
      <xdr:row>20</xdr:row>
      <xdr:rowOff>861390</xdr:rowOff>
    </xdr:to>
    <xdr:sp macro="" textlink="">
      <xdr:nvSpPr>
        <xdr:cNvPr id="335" name="Retângulo 334">
          <a:extLst>
            <a:ext uri="{FF2B5EF4-FFF2-40B4-BE49-F238E27FC236}">
              <a16:creationId xmlns:a16="http://schemas.microsoft.com/office/drawing/2014/main" id="{302F80E5-5BAD-437E-A550-85931F6FCADC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20</xdr:row>
      <xdr:rowOff>44868</xdr:rowOff>
    </xdr:from>
    <xdr:to>
      <xdr:col>1</xdr:col>
      <xdr:colOff>198951</xdr:colOff>
      <xdr:row>20</xdr:row>
      <xdr:rowOff>744273</xdr:rowOff>
    </xdr:to>
    <xdr:sp macro="" textlink="">
      <xdr:nvSpPr>
        <xdr:cNvPr id="336" name="Raio 335">
          <a:extLst>
            <a:ext uri="{FF2B5EF4-FFF2-40B4-BE49-F238E27FC236}">
              <a16:creationId xmlns:a16="http://schemas.microsoft.com/office/drawing/2014/main" id="{265A8E79-7819-4412-A0F7-CAC810B4AB49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20</xdr:row>
      <xdr:rowOff>88624</xdr:rowOff>
    </xdr:from>
    <xdr:ext cx="5325718" cy="593239"/>
    <xdr:sp macro="" textlink="">
      <xdr:nvSpPr>
        <xdr:cNvPr id="337" name="CaixaDeTexto 336">
          <a:extLst>
            <a:ext uri="{FF2B5EF4-FFF2-40B4-BE49-F238E27FC236}">
              <a16:creationId xmlns:a16="http://schemas.microsoft.com/office/drawing/2014/main" id="{97AD3FEA-98C5-414E-B15F-D964A27381DE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11</xdr:col>
      <xdr:colOff>281632</xdr:colOff>
      <xdr:row>20</xdr:row>
      <xdr:rowOff>0</xdr:rowOff>
    </xdr:from>
    <xdr:to>
      <xdr:col>13</xdr:col>
      <xdr:colOff>156332</xdr:colOff>
      <xdr:row>21</xdr:row>
      <xdr:rowOff>350</xdr:rowOff>
    </xdr:to>
    <xdr:grpSp>
      <xdr:nvGrpSpPr>
        <xdr:cNvPr id="338" name="Agrupar 337">
          <a:extLst>
            <a:ext uri="{FF2B5EF4-FFF2-40B4-BE49-F238E27FC236}">
              <a16:creationId xmlns:a16="http://schemas.microsoft.com/office/drawing/2014/main" id="{4C28302D-BAFA-48B6-9794-A00D021FFC5D}"/>
            </a:ext>
          </a:extLst>
        </xdr:cNvPr>
        <xdr:cNvGrpSpPr/>
      </xdr:nvGrpSpPr>
      <xdr:grpSpPr>
        <a:xfrm>
          <a:off x="6949132" y="7689273"/>
          <a:ext cx="1086973" cy="866259"/>
          <a:chOff x="7411601" y="0"/>
          <a:chExt cx="1097234" cy="870672"/>
        </a:xfrm>
      </xdr:grpSpPr>
      <xdr:sp macro="" textlink="">
        <xdr:nvSpPr>
          <xdr:cNvPr id="339" name="Retângulo 338">
            <a:extLst>
              <a:ext uri="{FF2B5EF4-FFF2-40B4-BE49-F238E27FC236}">
                <a16:creationId xmlns:a16="http://schemas.microsoft.com/office/drawing/2014/main" id="{A35F69A1-7F32-C99C-260A-77F8A1197E6F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40" name="Imagem 339">
            <a:extLst>
              <a:ext uri="{FF2B5EF4-FFF2-40B4-BE49-F238E27FC236}">
                <a16:creationId xmlns:a16="http://schemas.microsoft.com/office/drawing/2014/main" id="{97F2290D-56E0-87DE-F621-BB78EA3E0A1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341" name="CaixaDeTexto 340">
            <a:extLst>
              <a:ext uri="{FF2B5EF4-FFF2-40B4-BE49-F238E27FC236}">
                <a16:creationId xmlns:a16="http://schemas.microsoft.com/office/drawing/2014/main" id="{FD181708-A9D6-F819-AF29-725CF8DAB5B8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13</xdr:col>
      <xdr:colOff>85172</xdr:colOff>
      <xdr:row>20</xdr:row>
      <xdr:rowOff>0</xdr:rowOff>
    </xdr:from>
    <xdr:to>
      <xdr:col>15</xdr:col>
      <xdr:colOff>94899</xdr:colOff>
      <xdr:row>21</xdr:row>
      <xdr:rowOff>350</xdr:rowOff>
    </xdr:to>
    <xdr:grpSp>
      <xdr:nvGrpSpPr>
        <xdr:cNvPr id="342" name="Agrupar 341">
          <a:extLst>
            <a:ext uri="{FF2B5EF4-FFF2-40B4-BE49-F238E27FC236}">
              <a16:creationId xmlns:a16="http://schemas.microsoft.com/office/drawing/2014/main" id="{595C5BC2-3A01-47F3-839A-3DF06DD66175}"/>
            </a:ext>
          </a:extLst>
        </xdr:cNvPr>
        <xdr:cNvGrpSpPr/>
      </xdr:nvGrpSpPr>
      <xdr:grpSpPr>
        <a:xfrm>
          <a:off x="7964945" y="7689273"/>
          <a:ext cx="1221999" cy="866259"/>
          <a:chOff x="10965361" y="1520405"/>
          <a:chExt cx="1231803" cy="863203"/>
        </a:xfrm>
      </xdr:grpSpPr>
      <xdr:grpSp>
        <xdr:nvGrpSpPr>
          <xdr:cNvPr id="343" name="Agrupar 342">
            <a:extLst>
              <a:ext uri="{FF2B5EF4-FFF2-40B4-BE49-F238E27FC236}">
                <a16:creationId xmlns:a16="http://schemas.microsoft.com/office/drawing/2014/main" id="{DCC3F194-90B4-1A1C-B420-F5A49D5A60FA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345" name="Retângulo 344">
              <a:extLst>
                <a:ext uri="{FF2B5EF4-FFF2-40B4-BE49-F238E27FC236}">
                  <a16:creationId xmlns:a16="http://schemas.microsoft.com/office/drawing/2014/main" id="{EBD763C5-0173-BC35-8C70-086199C58F20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46" name="CaixaDeTexto 345">
              <a:extLst>
                <a:ext uri="{FF2B5EF4-FFF2-40B4-BE49-F238E27FC236}">
                  <a16:creationId xmlns:a16="http://schemas.microsoft.com/office/drawing/2014/main" id="{1BD75D25-F070-A86D-3B03-94B289F8788A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344" name="Imagem 343">
            <a:extLst>
              <a:ext uri="{FF2B5EF4-FFF2-40B4-BE49-F238E27FC236}">
                <a16:creationId xmlns:a16="http://schemas.microsoft.com/office/drawing/2014/main" id="{15E17CA2-FB7E-D1D2-41C8-8972F669F42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20</xdr:row>
      <xdr:rowOff>0</xdr:rowOff>
    </xdr:from>
    <xdr:to>
      <xdr:col>16</xdr:col>
      <xdr:colOff>444153</xdr:colOff>
      <xdr:row>21</xdr:row>
      <xdr:rowOff>350</xdr:rowOff>
    </xdr:to>
    <xdr:grpSp>
      <xdr:nvGrpSpPr>
        <xdr:cNvPr id="347" name="Agrupar 346">
          <a:extLst>
            <a:ext uri="{FF2B5EF4-FFF2-40B4-BE49-F238E27FC236}">
              <a16:creationId xmlns:a16="http://schemas.microsoft.com/office/drawing/2014/main" id="{02340C76-F15D-4AA4-B4EE-1E2A26EF4394}"/>
            </a:ext>
          </a:extLst>
        </xdr:cNvPr>
        <xdr:cNvGrpSpPr/>
      </xdr:nvGrpSpPr>
      <xdr:grpSpPr>
        <a:xfrm>
          <a:off x="9115784" y="7689273"/>
          <a:ext cx="1026551" cy="866259"/>
          <a:chOff x="10249990" y="1546698"/>
          <a:chExt cx="1026770" cy="863203"/>
        </a:xfrm>
      </xdr:grpSpPr>
      <xdr:grpSp>
        <xdr:nvGrpSpPr>
          <xdr:cNvPr id="348" name="Agrupar 347">
            <a:extLst>
              <a:ext uri="{FF2B5EF4-FFF2-40B4-BE49-F238E27FC236}">
                <a16:creationId xmlns:a16="http://schemas.microsoft.com/office/drawing/2014/main" id="{305A48E9-21AA-9500-DCA5-7D32E13DDE79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350" name="Retângulo 349">
              <a:extLst>
                <a:ext uri="{FF2B5EF4-FFF2-40B4-BE49-F238E27FC236}">
                  <a16:creationId xmlns:a16="http://schemas.microsoft.com/office/drawing/2014/main" id="{876D81B8-55D9-3839-0627-6BBA53D2E376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1" name="CaixaDeTexto 350">
              <a:extLst>
                <a:ext uri="{FF2B5EF4-FFF2-40B4-BE49-F238E27FC236}">
                  <a16:creationId xmlns:a16="http://schemas.microsoft.com/office/drawing/2014/main" id="{FC29F36D-4197-4CF3-8F1C-C372CB204E23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349" name="Imagem 348">
            <a:extLst>
              <a:ext uri="{FF2B5EF4-FFF2-40B4-BE49-F238E27FC236}">
                <a16:creationId xmlns:a16="http://schemas.microsoft.com/office/drawing/2014/main" id="{EA1FDBA7-2758-BF56-CD87-D6866FC445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20</xdr:row>
      <xdr:rowOff>0</xdr:rowOff>
    </xdr:from>
    <xdr:to>
      <xdr:col>19</xdr:col>
      <xdr:colOff>535440</xdr:colOff>
      <xdr:row>21</xdr:row>
      <xdr:rowOff>350</xdr:rowOff>
    </xdr:to>
    <xdr:grpSp>
      <xdr:nvGrpSpPr>
        <xdr:cNvPr id="357" name="Agrupar 356">
          <a:extLst>
            <a:ext uri="{FF2B5EF4-FFF2-40B4-BE49-F238E27FC236}">
              <a16:creationId xmlns:a16="http://schemas.microsoft.com/office/drawing/2014/main" id="{B41DD784-A7BD-432C-A46A-48429E14F14B}"/>
            </a:ext>
          </a:extLst>
        </xdr:cNvPr>
        <xdr:cNvGrpSpPr/>
      </xdr:nvGrpSpPr>
      <xdr:grpSpPr>
        <a:xfrm>
          <a:off x="11024947" y="7689273"/>
          <a:ext cx="1027084" cy="866259"/>
          <a:chOff x="10613252" y="3484008"/>
          <a:chExt cx="1034639" cy="863203"/>
        </a:xfrm>
      </xdr:grpSpPr>
      <xdr:grpSp>
        <xdr:nvGrpSpPr>
          <xdr:cNvPr id="358" name="Agrupar 357">
            <a:extLst>
              <a:ext uri="{FF2B5EF4-FFF2-40B4-BE49-F238E27FC236}">
                <a16:creationId xmlns:a16="http://schemas.microsoft.com/office/drawing/2014/main" id="{597517D9-9BED-56E0-2A72-FBDDDBDCD087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360" name="Retângulo 359">
              <a:extLst>
                <a:ext uri="{FF2B5EF4-FFF2-40B4-BE49-F238E27FC236}">
                  <a16:creationId xmlns:a16="http://schemas.microsoft.com/office/drawing/2014/main" id="{726B3FC1-65DA-25FF-21F4-5E1E8EF1121C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61" name="CaixaDeTexto 360">
              <a:extLst>
                <a:ext uri="{FF2B5EF4-FFF2-40B4-BE49-F238E27FC236}">
                  <a16:creationId xmlns:a16="http://schemas.microsoft.com/office/drawing/2014/main" id="{95C1DC82-EADE-297B-DD12-0CA63D2D4899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359" name="Imagem 358">
            <a:extLst>
              <a:ext uri="{FF2B5EF4-FFF2-40B4-BE49-F238E27FC236}">
                <a16:creationId xmlns:a16="http://schemas.microsoft.com/office/drawing/2014/main" id="{75B25A80-0F3F-A604-E263-E0397146166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464280</xdr:colOff>
      <xdr:row>20</xdr:row>
      <xdr:rowOff>0</xdr:rowOff>
    </xdr:from>
    <xdr:to>
      <xdr:col>21</xdr:col>
      <xdr:colOff>278405</xdr:colOff>
      <xdr:row>21</xdr:row>
      <xdr:rowOff>350</xdr:rowOff>
    </xdr:to>
    <xdr:grpSp>
      <xdr:nvGrpSpPr>
        <xdr:cNvPr id="362" name="Agrupar 361">
          <a:extLst>
            <a:ext uri="{FF2B5EF4-FFF2-40B4-BE49-F238E27FC236}">
              <a16:creationId xmlns:a16="http://schemas.microsoft.com/office/drawing/2014/main" id="{AF60622E-4C68-4427-AC03-2FB40D77FA0E}"/>
            </a:ext>
          </a:extLst>
        </xdr:cNvPr>
        <xdr:cNvGrpSpPr/>
      </xdr:nvGrpSpPr>
      <xdr:grpSpPr>
        <a:xfrm>
          <a:off x="11980871" y="7689273"/>
          <a:ext cx="1026398" cy="866259"/>
          <a:chOff x="10744060" y="2050831"/>
          <a:chExt cx="1032640" cy="863203"/>
        </a:xfrm>
      </xdr:grpSpPr>
      <xdr:grpSp>
        <xdr:nvGrpSpPr>
          <xdr:cNvPr id="363" name="Agrupar 362">
            <a:extLst>
              <a:ext uri="{FF2B5EF4-FFF2-40B4-BE49-F238E27FC236}">
                <a16:creationId xmlns:a16="http://schemas.microsoft.com/office/drawing/2014/main" id="{4978CF17-FB66-50B0-F6FD-2BC163393861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365" name="Retângulo 364">
              <a:extLst>
                <a:ext uri="{FF2B5EF4-FFF2-40B4-BE49-F238E27FC236}">
                  <a16:creationId xmlns:a16="http://schemas.microsoft.com/office/drawing/2014/main" id="{474730C7-E100-FB3E-C989-629C266D820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66" name="CaixaDeTexto 365">
              <a:extLst>
                <a:ext uri="{FF2B5EF4-FFF2-40B4-BE49-F238E27FC236}">
                  <a16:creationId xmlns:a16="http://schemas.microsoft.com/office/drawing/2014/main" id="{E865B933-FB1D-2941-E3DE-6FDDC75CE65C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364" name="Imagem 363">
            <a:extLst>
              <a:ext uri="{FF2B5EF4-FFF2-40B4-BE49-F238E27FC236}">
                <a16:creationId xmlns:a16="http://schemas.microsoft.com/office/drawing/2014/main" id="{63AA7698-54E8-7B5D-0014-F41FD67ED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550017</xdr:colOff>
      <xdr:row>20</xdr:row>
      <xdr:rowOff>0</xdr:rowOff>
    </xdr:from>
    <xdr:to>
      <xdr:col>24</xdr:col>
      <xdr:colOff>357516</xdr:colOff>
      <xdr:row>21</xdr:row>
      <xdr:rowOff>350</xdr:rowOff>
    </xdr:to>
    <xdr:grpSp>
      <xdr:nvGrpSpPr>
        <xdr:cNvPr id="367" name="Agrupar 366">
          <a:extLst>
            <a:ext uri="{FF2B5EF4-FFF2-40B4-BE49-F238E27FC236}">
              <a16:creationId xmlns:a16="http://schemas.microsoft.com/office/drawing/2014/main" id="{445F1999-ADED-403F-B799-9806B7C3BF0A}"/>
            </a:ext>
          </a:extLst>
        </xdr:cNvPr>
        <xdr:cNvGrpSpPr/>
      </xdr:nvGrpSpPr>
      <xdr:grpSpPr>
        <a:xfrm>
          <a:off x="13885017" y="7689273"/>
          <a:ext cx="1019772" cy="866259"/>
          <a:chOff x="10666547" y="1933904"/>
          <a:chExt cx="1032640" cy="863203"/>
        </a:xfrm>
      </xdr:grpSpPr>
      <xdr:grpSp>
        <xdr:nvGrpSpPr>
          <xdr:cNvPr id="368" name="Agrupar 367">
            <a:extLst>
              <a:ext uri="{FF2B5EF4-FFF2-40B4-BE49-F238E27FC236}">
                <a16:creationId xmlns:a16="http://schemas.microsoft.com/office/drawing/2014/main" id="{9813374D-B732-62C5-50B3-3F7C8AD1787E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70" name="Retângulo 369">
              <a:extLst>
                <a:ext uri="{FF2B5EF4-FFF2-40B4-BE49-F238E27FC236}">
                  <a16:creationId xmlns:a16="http://schemas.microsoft.com/office/drawing/2014/main" id="{A3A4EB19-FD09-4D73-1811-03620C20715A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1" name="CaixaDeTexto 370">
              <a:extLst>
                <a:ext uri="{FF2B5EF4-FFF2-40B4-BE49-F238E27FC236}">
                  <a16:creationId xmlns:a16="http://schemas.microsoft.com/office/drawing/2014/main" id="{CEDC3A11-1F0B-8261-E2F4-7C8486A23591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69" name="Imagem 368">
            <a:extLst>
              <a:ext uri="{FF2B5EF4-FFF2-40B4-BE49-F238E27FC236}">
                <a16:creationId xmlns:a16="http://schemas.microsoft.com/office/drawing/2014/main" id="{0C02DD2E-2380-B0C6-64D0-20160263A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286356</xdr:colOff>
      <xdr:row>20</xdr:row>
      <xdr:rowOff>0</xdr:rowOff>
    </xdr:from>
    <xdr:to>
      <xdr:col>26</xdr:col>
      <xdr:colOff>97168</xdr:colOff>
      <xdr:row>21</xdr:row>
      <xdr:rowOff>350</xdr:rowOff>
    </xdr:to>
    <xdr:grpSp>
      <xdr:nvGrpSpPr>
        <xdr:cNvPr id="372" name="Agrupar 371">
          <a:extLst>
            <a:ext uri="{FF2B5EF4-FFF2-40B4-BE49-F238E27FC236}">
              <a16:creationId xmlns:a16="http://schemas.microsoft.com/office/drawing/2014/main" id="{1A40A778-F572-4CAD-A2F0-F19F4AA2E687}"/>
            </a:ext>
          </a:extLst>
        </xdr:cNvPr>
        <xdr:cNvGrpSpPr/>
      </xdr:nvGrpSpPr>
      <xdr:grpSpPr>
        <a:xfrm>
          <a:off x="14833629" y="7689273"/>
          <a:ext cx="1023084" cy="866259"/>
          <a:chOff x="10666547" y="1933904"/>
          <a:chExt cx="1032640" cy="863203"/>
        </a:xfrm>
      </xdr:grpSpPr>
      <xdr:grpSp>
        <xdr:nvGrpSpPr>
          <xdr:cNvPr id="373" name="Agrupar 372">
            <a:extLst>
              <a:ext uri="{FF2B5EF4-FFF2-40B4-BE49-F238E27FC236}">
                <a16:creationId xmlns:a16="http://schemas.microsoft.com/office/drawing/2014/main" id="{6873ACBC-18FA-04AE-442B-8B03499FC768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75" name="Retângulo 374">
              <a:extLst>
                <a:ext uri="{FF2B5EF4-FFF2-40B4-BE49-F238E27FC236}">
                  <a16:creationId xmlns:a16="http://schemas.microsoft.com/office/drawing/2014/main" id="{BA9791AF-D194-57C5-853E-EE68664F698C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6" name="CaixaDeTexto 375">
              <a:extLst>
                <a:ext uri="{FF2B5EF4-FFF2-40B4-BE49-F238E27FC236}">
                  <a16:creationId xmlns:a16="http://schemas.microsoft.com/office/drawing/2014/main" id="{A83BE464-6335-04B9-43C2-1830E3BAC1E2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374" name="Imagem 373">
            <a:extLst>
              <a:ext uri="{FF2B5EF4-FFF2-40B4-BE49-F238E27FC236}">
                <a16:creationId xmlns:a16="http://schemas.microsoft.com/office/drawing/2014/main" id="{AE232FE2-E1D8-867C-B46B-A0474A1B2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207245</xdr:colOff>
      <xdr:row>20</xdr:row>
      <xdr:rowOff>0</xdr:rowOff>
    </xdr:from>
    <xdr:to>
      <xdr:col>23</xdr:col>
      <xdr:colOff>16059</xdr:colOff>
      <xdr:row>21</xdr:row>
      <xdr:rowOff>350</xdr:rowOff>
    </xdr:to>
    <xdr:grpSp>
      <xdr:nvGrpSpPr>
        <xdr:cNvPr id="377" name="Agrupar 376">
          <a:extLst>
            <a:ext uri="{FF2B5EF4-FFF2-40B4-BE49-F238E27FC236}">
              <a16:creationId xmlns:a16="http://schemas.microsoft.com/office/drawing/2014/main" id="{4F3E92C5-2A78-4708-AA8B-B783B6441240}"/>
            </a:ext>
          </a:extLst>
        </xdr:cNvPr>
        <xdr:cNvGrpSpPr/>
      </xdr:nvGrpSpPr>
      <xdr:grpSpPr>
        <a:xfrm>
          <a:off x="12936109" y="7689273"/>
          <a:ext cx="1021086" cy="866259"/>
          <a:chOff x="10744060" y="2050831"/>
          <a:chExt cx="1032640" cy="863203"/>
        </a:xfrm>
      </xdr:grpSpPr>
      <xdr:grpSp>
        <xdr:nvGrpSpPr>
          <xdr:cNvPr id="378" name="Agrupar 377">
            <a:extLst>
              <a:ext uri="{FF2B5EF4-FFF2-40B4-BE49-F238E27FC236}">
                <a16:creationId xmlns:a16="http://schemas.microsoft.com/office/drawing/2014/main" id="{D7AF276C-BD13-E464-099D-52F790672CE8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380" name="Retângulo 379">
              <a:extLst>
                <a:ext uri="{FF2B5EF4-FFF2-40B4-BE49-F238E27FC236}">
                  <a16:creationId xmlns:a16="http://schemas.microsoft.com/office/drawing/2014/main" id="{9F2E38CD-032E-91AF-613A-12869BE243E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1" name="CaixaDeTexto 380">
              <a:extLst>
                <a:ext uri="{FF2B5EF4-FFF2-40B4-BE49-F238E27FC236}">
                  <a16:creationId xmlns:a16="http://schemas.microsoft.com/office/drawing/2014/main" id="{CA9D1E31-FB7A-EAC1-4438-BED6329C0947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79" name="Imagem 378">
            <a:extLst>
              <a:ext uri="{FF2B5EF4-FFF2-40B4-BE49-F238E27FC236}">
                <a16:creationId xmlns:a16="http://schemas.microsoft.com/office/drawing/2014/main" id="{29A0733B-E114-006A-D718-26A4643B0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20</xdr:row>
      <xdr:rowOff>0</xdr:rowOff>
    </xdr:from>
    <xdr:to>
      <xdr:col>11</xdr:col>
      <xdr:colOff>352792</xdr:colOff>
      <xdr:row>21</xdr:row>
      <xdr:rowOff>350</xdr:rowOff>
    </xdr:to>
    <xdr:grpSp>
      <xdr:nvGrpSpPr>
        <xdr:cNvPr id="382" name="Agrupar 381">
          <a:extLst>
            <a:ext uri="{FF2B5EF4-FFF2-40B4-BE49-F238E27FC236}">
              <a16:creationId xmlns:a16="http://schemas.microsoft.com/office/drawing/2014/main" id="{24FE38B7-E6FC-4AE7-8B78-88369824CF1F}"/>
            </a:ext>
          </a:extLst>
        </xdr:cNvPr>
        <xdr:cNvGrpSpPr/>
      </xdr:nvGrpSpPr>
      <xdr:grpSpPr>
        <a:xfrm>
          <a:off x="5945988" y="7689273"/>
          <a:ext cx="1074304" cy="866259"/>
          <a:chOff x="8052741" y="2471157"/>
          <a:chExt cx="1082687" cy="863203"/>
        </a:xfrm>
      </xdr:grpSpPr>
      <xdr:grpSp>
        <xdr:nvGrpSpPr>
          <xdr:cNvPr id="383" name="Agrupar 382">
            <a:extLst>
              <a:ext uri="{FF2B5EF4-FFF2-40B4-BE49-F238E27FC236}">
                <a16:creationId xmlns:a16="http://schemas.microsoft.com/office/drawing/2014/main" id="{E69FEAC0-429C-21D7-5617-84ABEC8D8712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385" name="Retângulo 384">
              <a:extLst>
                <a:ext uri="{FF2B5EF4-FFF2-40B4-BE49-F238E27FC236}">
                  <a16:creationId xmlns:a16="http://schemas.microsoft.com/office/drawing/2014/main" id="{6E82BB04-4FED-10F9-2204-9CD4ACC82CBE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6" name="CaixaDeTexto 385">
              <a:extLst>
                <a:ext uri="{FF2B5EF4-FFF2-40B4-BE49-F238E27FC236}">
                  <a16:creationId xmlns:a16="http://schemas.microsoft.com/office/drawing/2014/main" id="{68CDB500-5329-517A-7F50-7784592359EB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384" name="Imagem 383">
            <a:extLst>
              <a:ext uri="{FF2B5EF4-FFF2-40B4-BE49-F238E27FC236}">
                <a16:creationId xmlns:a16="http://schemas.microsoft.com/office/drawing/2014/main" id="{237E8921-B729-AD9A-F984-E85662F359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26008</xdr:colOff>
      <xdr:row>20</xdr:row>
      <xdr:rowOff>0</xdr:rowOff>
    </xdr:from>
    <xdr:to>
      <xdr:col>27</xdr:col>
      <xdr:colOff>457555</xdr:colOff>
      <xdr:row>21</xdr:row>
      <xdr:rowOff>350</xdr:rowOff>
    </xdr:to>
    <xdr:grpSp>
      <xdr:nvGrpSpPr>
        <xdr:cNvPr id="387" name="Agrupar 386">
          <a:extLst>
            <a:ext uri="{FF2B5EF4-FFF2-40B4-BE49-F238E27FC236}">
              <a16:creationId xmlns:a16="http://schemas.microsoft.com/office/drawing/2014/main" id="{1BC3580C-0BA8-4815-A768-BE9FB5A8B62F}"/>
            </a:ext>
          </a:extLst>
        </xdr:cNvPr>
        <xdr:cNvGrpSpPr/>
      </xdr:nvGrpSpPr>
      <xdr:grpSpPr>
        <a:xfrm>
          <a:off x="15785553" y="7689273"/>
          <a:ext cx="1037684" cy="866259"/>
          <a:chOff x="7623418" y="2467632"/>
          <a:chExt cx="1034665" cy="863203"/>
        </a:xfrm>
      </xdr:grpSpPr>
      <xdr:grpSp>
        <xdr:nvGrpSpPr>
          <xdr:cNvPr id="388" name="Agrupar 387">
            <a:extLst>
              <a:ext uri="{FF2B5EF4-FFF2-40B4-BE49-F238E27FC236}">
                <a16:creationId xmlns:a16="http://schemas.microsoft.com/office/drawing/2014/main" id="{58FD43AF-9058-05A1-ADD8-616AB9FFDBBB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390" name="Retângulo 389">
              <a:extLst>
                <a:ext uri="{FF2B5EF4-FFF2-40B4-BE49-F238E27FC236}">
                  <a16:creationId xmlns:a16="http://schemas.microsoft.com/office/drawing/2014/main" id="{386CD479-7B11-19E9-D937-3C231D5698D5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1" name="CaixaDeTexto 390">
              <a:extLst>
                <a:ext uri="{FF2B5EF4-FFF2-40B4-BE49-F238E27FC236}">
                  <a16:creationId xmlns:a16="http://schemas.microsoft.com/office/drawing/2014/main" id="{0882DAE0-136E-53FF-3377-A3EC17E5003D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389" name="Imagem 388">
            <a:extLst>
              <a:ext uri="{FF2B5EF4-FFF2-40B4-BE49-F238E27FC236}">
                <a16:creationId xmlns:a16="http://schemas.microsoft.com/office/drawing/2014/main" id="{C1D57056-C0EE-8726-9F28-2A38B8946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386395</xdr:colOff>
      <xdr:row>20</xdr:row>
      <xdr:rowOff>11028</xdr:rowOff>
    </xdr:from>
    <xdr:to>
      <xdr:col>29</xdr:col>
      <xdr:colOff>311782</xdr:colOff>
      <xdr:row>21</xdr:row>
      <xdr:rowOff>4449</xdr:rowOff>
    </xdr:to>
    <xdr:grpSp>
      <xdr:nvGrpSpPr>
        <xdr:cNvPr id="392" name="Agrupar 391">
          <a:extLst>
            <a:ext uri="{FF2B5EF4-FFF2-40B4-BE49-F238E27FC236}">
              <a16:creationId xmlns:a16="http://schemas.microsoft.com/office/drawing/2014/main" id="{5665DB48-87A4-45DA-8AAB-47FB56515BCD}"/>
            </a:ext>
          </a:extLst>
        </xdr:cNvPr>
        <xdr:cNvGrpSpPr/>
      </xdr:nvGrpSpPr>
      <xdr:grpSpPr>
        <a:xfrm>
          <a:off x="16752077" y="7700301"/>
          <a:ext cx="1137660" cy="859330"/>
          <a:chOff x="7441106" y="2890839"/>
          <a:chExt cx="1139825" cy="839477"/>
        </a:xfrm>
      </xdr:grpSpPr>
      <xdr:grpSp>
        <xdr:nvGrpSpPr>
          <xdr:cNvPr id="393" name="Agrupar 392">
            <a:extLst>
              <a:ext uri="{FF2B5EF4-FFF2-40B4-BE49-F238E27FC236}">
                <a16:creationId xmlns:a16="http://schemas.microsoft.com/office/drawing/2014/main" id="{E714BDFB-3F42-5144-283D-4A46F17BC18D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395" name="Retângulo 394">
              <a:extLst>
                <a:ext uri="{FF2B5EF4-FFF2-40B4-BE49-F238E27FC236}">
                  <a16:creationId xmlns:a16="http://schemas.microsoft.com/office/drawing/2014/main" id="{054A30B0-7C4E-4202-14E7-13A26D727EC4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6" name="CaixaDeTexto 395">
              <a:extLst>
                <a:ext uri="{FF2B5EF4-FFF2-40B4-BE49-F238E27FC236}">
                  <a16:creationId xmlns:a16="http://schemas.microsoft.com/office/drawing/2014/main" id="{4E73EEC9-663C-6C3A-BD99-D40712D9CF95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394" name="Imagem 393">
            <a:extLst>
              <a:ext uri="{FF2B5EF4-FFF2-40B4-BE49-F238E27FC236}">
                <a16:creationId xmlns:a16="http://schemas.microsoft.com/office/drawing/2014/main" id="{6EB58B0B-E474-D7BB-9C57-4D68C4D84F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13</xdr:col>
      <xdr:colOff>87073</xdr:colOff>
      <xdr:row>21</xdr:row>
      <xdr:rowOff>9720</xdr:rowOff>
    </xdr:from>
    <xdr:ext cx="3144579" cy="483722"/>
    <xdr:sp macro="" textlink="">
      <xdr:nvSpPr>
        <xdr:cNvPr id="397" name="CaixaDeTexto 396">
          <a:extLst>
            <a:ext uri="{FF2B5EF4-FFF2-40B4-BE49-F238E27FC236}">
              <a16:creationId xmlns:a16="http://schemas.microsoft.com/office/drawing/2014/main" id="{F0594EE3-6036-44C2-B65E-80F94B67351F}"/>
            </a:ext>
          </a:extLst>
        </xdr:cNvPr>
        <xdr:cNvSpPr txBox="1"/>
      </xdr:nvSpPr>
      <xdr:spPr>
        <a:xfrm>
          <a:off x="8135698" y="8486970"/>
          <a:ext cx="3144579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Geradores</a:t>
          </a:r>
        </a:p>
      </xdr:txBody>
    </xdr:sp>
    <xdr:clientData/>
  </xdr:oneCellAnchor>
  <xdr:twoCellAnchor>
    <xdr:from>
      <xdr:col>16</xdr:col>
      <xdr:colOff>323850</xdr:colOff>
      <xdr:row>20</xdr:row>
      <xdr:rowOff>0</xdr:rowOff>
    </xdr:from>
    <xdr:to>
      <xdr:col>18</xdr:col>
      <xdr:colOff>124823</xdr:colOff>
      <xdr:row>21</xdr:row>
      <xdr:rowOff>0</xdr:rowOff>
    </xdr:to>
    <xdr:grpSp>
      <xdr:nvGrpSpPr>
        <xdr:cNvPr id="398" name="Agrupar 397">
          <a:extLst>
            <a:ext uri="{FF2B5EF4-FFF2-40B4-BE49-F238E27FC236}">
              <a16:creationId xmlns:a16="http://schemas.microsoft.com/office/drawing/2014/main" id="{79F2B8DD-E6F1-4275-B310-75C1D8603490}"/>
            </a:ext>
          </a:extLst>
        </xdr:cNvPr>
        <xdr:cNvGrpSpPr/>
      </xdr:nvGrpSpPr>
      <xdr:grpSpPr>
        <a:xfrm>
          <a:off x="10022032" y="7689273"/>
          <a:ext cx="1013246" cy="865909"/>
          <a:chOff x="9899139" y="1970356"/>
          <a:chExt cx="1028548" cy="880420"/>
        </a:xfrm>
      </xdr:grpSpPr>
      <xdr:grpSp>
        <xdr:nvGrpSpPr>
          <xdr:cNvPr id="399" name="Agrupar 398">
            <a:extLst>
              <a:ext uri="{FF2B5EF4-FFF2-40B4-BE49-F238E27FC236}">
                <a16:creationId xmlns:a16="http://schemas.microsoft.com/office/drawing/2014/main" id="{D3A58EE8-BF3F-5DF3-71D1-9632D0B23472}"/>
              </a:ext>
            </a:extLst>
          </xdr:cNvPr>
          <xdr:cNvGrpSpPr/>
        </xdr:nvGrpSpPr>
        <xdr:grpSpPr>
          <a:xfrm>
            <a:off x="9899139" y="1970356"/>
            <a:ext cx="1028548" cy="880420"/>
            <a:chOff x="7510696" y="0"/>
            <a:chExt cx="1030879" cy="888038"/>
          </a:xfrm>
        </xdr:grpSpPr>
        <xdr:sp macro="" textlink="">
          <xdr:nvSpPr>
            <xdr:cNvPr id="401" name="Retângulo 400">
              <a:extLst>
                <a:ext uri="{FF2B5EF4-FFF2-40B4-BE49-F238E27FC236}">
                  <a16:creationId xmlns:a16="http://schemas.microsoft.com/office/drawing/2014/main" id="{0DDA256C-B309-EA03-BD1E-1E7A8A8AD925}"/>
                </a:ext>
              </a:extLst>
            </xdr:cNvPr>
            <xdr:cNvSpPr/>
          </xdr:nvSpPr>
          <xdr:spPr>
            <a:xfrm>
              <a:off x="7510696" y="0"/>
              <a:ext cx="1030879" cy="8880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02" name="CaixaDeTexto 401">
              <a:extLst>
                <a:ext uri="{FF2B5EF4-FFF2-40B4-BE49-F238E27FC236}">
                  <a16:creationId xmlns:a16="http://schemas.microsoft.com/office/drawing/2014/main" id="{738EEB4A-A26A-5C87-27C5-05D590D8BA09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Geradores</a:t>
              </a:r>
            </a:p>
          </xdr:txBody>
        </xdr:sp>
      </xdr:grpSp>
      <xdr:pic>
        <xdr:nvPicPr>
          <xdr:cNvPr id="400" name="Imagem 399">
            <a:extLst>
              <a:ext uri="{FF2B5EF4-FFF2-40B4-BE49-F238E27FC236}">
                <a16:creationId xmlns:a16="http://schemas.microsoft.com/office/drawing/2014/main" id="{2A4CE168-ABAB-E2BD-954C-A1ED9D8AA14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25</xdr:row>
      <xdr:rowOff>0</xdr:rowOff>
    </xdr:from>
    <xdr:to>
      <xdr:col>4</xdr:col>
      <xdr:colOff>129210</xdr:colOff>
      <xdr:row>25</xdr:row>
      <xdr:rowOff>861390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52125096-3800-4E63-8769-2BE5A65A1C75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25</xdr:row>
      <xdr:rowOff>44868</xdr:rowOff>
    </xdr:from>
    <xdr:to>
      <xdr:col>1</xdr:col>
      <xdr:colOff>198951</xdr:colOff>
      <xdr:row>25</xdr:row>
      <xdr:rowOff>744273</xdr:rowOff>
    </xdr:to>
    <xdr:sp macro="" textlink="">
      <xdr:nvSpPr>
        <xdr:cNvPr id="404" name="Raio 403">
          <a:extLst>
            <a:ext uri="{FF2B5EF4-FFF2-40B4-BE49-F238E27FC236}">
              <a16:creationId xmlns:a16="http://schemas.microsoft.com/office/drawing/2014/main" id="{7E535B0F-AF17-4306-BD07-968C946CCB1B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25</xdr:row>
      <xdr:rowOff>88624</xdr:rowOff>
    </xdr:from>
    <xdr:ext cx="5325718" cy="593239"/>
    <xdr:sp macro="" textlink="">
      <xdr:nvSpPr>
        <xdr:cNvPr id="405" name="CaixaDeTexto 404">
          <a:extLst>
            <a:ext uri="{FF2B5EF4-FFF2-40B4-BE49-F238E27FC236}">
              <a16:creationId xmlns:a16="http://schemas.microsoft.com/office/drawing/2014/main" id="{931DE5B8-4989-4ADC-94BF-8B529CF83738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11</xdr:col>
      <xdr:colOff>281632</xdr:colOff>
      <xdr:row>25</xdr:row>
      <xdr:rowOff>0</xdr:rowOff>
    </xdr:from>
    <xdr:to>
      <xdr:col>13</xdr:col>
      <xdr:colOff>156332</xdr:colOff>
      <xdr:row>26</xdr:row>
      <xdr:rowOff>350</xdr:rowOff>
    </xdr:to>
    <xdr:grpSp>
      <xdr:nvGrpSpPr>
        <xdr:cNvPr id="406" name="Agrupar 405">
          <a:extLst>
            <a:ext uri="{FF2B5EF4-FFF2-40B4-BE49-F238E27FC236}">
              <a16:creationId xmlns:a16="http://schemas.microsoft.com/office/drawing/2014/main" id="{CCE0BDD9-8AAA-47BF-8654-FD3EF88C8D85}"/>
            </a:ext>
          </a:extLst>
        </xdr:cNvPr>
        <xdr:cNvGrpSpPr/>
      </xdr:nvGrpSpPr>
      <xdr:grpSpPr>
        <a:xfrm>
          <a:off x="6949132" y="9611591"/>
          <a:ext cx="1086973" cy="866259"/>
          <a:chOff x="7411601" y="0"/>
          <a:chExt cx="1097234" cy="870672"/>
        </a:xfrm>
      </xdr:grpSpPr>
      <xdr:sp macro="" textlink="">
        <xdr:nvSpPr>
          <xdr:cNvPr id="407" name="Retângulo 406">
            <a:extLst>
              <a:ext uri="{FF2B5EF4-FFF2-40B4-BE49-F238E27FC236}">
                <a16:creationId xmlns:a16="http://schemas.microsoft.com/office/drawing/2014/main" id="{897A7A29-116B-B7BF-126D-C6F2C1EE0CC0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08" name="Imagem 407">
            <a:extLst>
              <a:ext uri="{FF2B5EF4-FFF2-40B4-BE49-F238E27FC236}">
                <a16:creationId xmlns:a16="http://schemas.microsoft.com/office/drawing/2014/main" id="{065667FB-2375-35EE-BF52-31D5033E0E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409" name="CaixaDeTexto 408">
            <a:extLst>
              <a:ext uri="{FF2B5EF4-FFF2-40B4-BE49-F238E27FC236}">
                <a16:creationId xmlns:a16="http://schemas.microsoft.com/office/drawing/2014/main" id="{64D17669-71EC-2959-7040-75B533F6FD5F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13</xdr:col>
      <xdr:colOff>85172</xdr:colOff>
      <xdr:row>25</xdr:row>
      <xdr:rowOff>0</xdr:rowOff>
    </xdr:from>
    <xdr:to>
      <xdr:col>15</xdr:col>
      <xdr:colOff>94899</xdr:colOff>
      <xdr:row>26</xdr:row>
      <xdr:rowOff>350</xdr:rowOff>
    </xdr:to>
    <xdr:grpSp>
      <xdr:nvGrpSpPr>
        <xdr:cNvPr id="410" name="Agrupar 409">
          <a:extLst>
            <a:ext uri="{FF2B5EF4-FFF2-40B4-BE49-F238E27FC236}">
              <a16:creationId xmlns:a16="http://schemas.microsoft.com/office/drawing/2014/main" id="{BA7D1962-4B29-4360-9462-A51B0A24C4C7}"/>
            </a:ext>
          </a:extLst>
        </xdr:cNvPr>
        <xdr:cNvGrpSpPr/>
      </xdr:nvGrpSpPr>
      <xdr:grpSpPr>
        <a:xfrm>
          <a:off x="7964945" y="9611591"/>
          <a:ext cx="1221999" cy="866259"/>
          <a:chOff x="10965361" y="1520405"/>
          <a:chExt cx="1231803" cy="863203"/>
        </a:xfrm>
      </xdr:grpSpPr>
      <xdr:grpSp>
        <xdr:nvGrpSpPr>
          <xdr:cNvPr id="411" name="Agrupar 410">
            <a:extLst>
              <a:ext uri="{FF2B5EF4-FFF2-40B4-BE49-F238E27FC236}">
                <a16:creationId xmlns:a16="http://schemas.microsoft.com/office/drawing/2014/main" id="{AAB6FFF6-E788-2165-6D1B-925A8F749339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413" name="Retângulo 412">
              <a:extLst>
                <a:ext uri="{FF2B5EF4-FFF2-40B4-BE49-F238E27FC236}">
                  <a16:creationId xmlns:a16="http://schemas.microsoft.com/office/drawing/2014/main" id="{406E2850-A7FE-CA98-1BF2-EF3A36DE422F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4" name="CaixaDeTexto 413">
              <a:extLst>
                <a:ext uri="{FF2B5EF4-FFF2-40B4-BE49-F238E27FC236}">
                  <a16:creationId xmlns:a16="http://schemas.microsoft.com/office/drawing/2014/main" id="{58FD6A5F-23CD-55C2-7666-601EE47A5CF8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412" name="Imagem 411">
            <a:extLst>
              <a:ext uri="{FF2B5EF4-FFF2-40B4-BE49-F238E27FC236}">
                <a16:creationId xmlns:a16="http://schemas.microsoft.com/office/drawing/2014/main" id="{8F23429F-D58F-CAD6-9A7C-A87F4E604A8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25</xdr:row>
      <xdr:rowOff>0</xdr:rowOff>
    </xdr:from>
    <xdr:to>
      <xdr:col>16</xdr:col>
      <xdr:colOff>444153</xdr:colOff>
      <xdr:row>26</xdr:row>
      <xdr:rowOff>350</xdr:rowOff>
    </xdr:to>
    <xdr:grpSp>
      <xdr:nvGrpSpPr>
        <xdr:cNvPr id="415" name="Agrupar 414">
          <a:extLst>
            <a:ext uri="{FF2B5EF4-FFF2-40B4-BE49-F238E27FC236}">
              <a16:creationId xmlns:a16="http://schemas.microsoft.com/office/drawing/2014/main" id="{ED7DEAB9-2360-4534-B86F-C1A2729E3E03}"/>
            </a:ext>
          </a:extLst>
        </xdr:cNvPr>
        <xdr:cNvGrpSpPr/>
      </xdr:nvGrpSpPr>
      <xdr:grpSpPr>
        <a:xfrm>
          <a:off x="9115784" y="9611591"/>
          <a:ext cx="1026551" cy="866259"/>
          <a:chOff x="10249990" y="1546698"/>
          <a:chExt cx="1026770" cy="863203"/>
        </a:xfrm>
      </xdr:grpSpPr>
      <xdr:grpSp>
        <xdr:nvGrpSpPr>
          <xdr:cNvPr id="416" name="Agrupar 415">
            <a:extLst>
              <a:ext uri="{FF2B5EF4-FFF2-40B4-BE49-F238E27FC236}">
                <a16:creationId xmlns:a16="http://schemas.microsoft.com/office/drawing/2014/main" id="{C38787A5-4445-B32E-AC9D-9D21E0BF753F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418" name="Retângulo 417">
              <a:extLst>
                <a:ext uri="{FF2B5EF4-FFF2-40B4-BE49-F238E27FC236}">
                  <a16:creationId xmlns:a16="http://schemas.microsoft.com/office/drawing/2014/main" id="{D120B535-9D5F-FB2A-FD36-B5FE7F45168F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9" name="CaixaDeTexto 418">
              <a:extLst>
                <a:ext uri="{FF2B5EF4-FFF2-40B4-BE49-F238E27FC236}">
                  <a16:creationId xmlns:a16="http://schemas.microsoft.com/office/drawing/2014/main" id="{75A91085-4712-6235-E27D-AE57D28D37D3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417" name="Imagem 416">
            <a:extLst>
              <a:ext uri="{FF2B5EF4-FFF2-40B4-BE49-F238E27FC236}">
                <a16:creationId xmlns:a16="http://schemas.microsoft.com/office/drawing/2014/main" id="{DBFD87EC-193F-B556-121A-1E1E9AA251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372993</xdr:colOff>
      <xdr:row>25</xdr:row>
      <xdr:rowOff>0</xdr:rowOff>
    </xdr:from>
    <xdr:to>
      <xdr:col>18</xdr:col>
      <xdr:colOff>185652</xdr:colOff>
      <xdr:row>26</xdr:row>
      <xdr:rowOff>350</xdr:rowOff>
    </xdr:to>
    <xdr:grpSp>
      <xdr:nvGrpSpPr>
        <xdr:cNvPr id="420" name="Agrupar 419">
          <a:extLst>
            <a:ext uri="{FF2B5EF4-FFF2-40B4-BE49-F238E27FC236}">
              <a16:creationId xmlns:a16="http://schemas.microsoft.com/office/drawing/2014/main" id="{E4B0F9EF-CB05-4F9C-89F5-0662D13B48C8}"/>
            </a:ext>
          </a:extLst>
        </xdr:cNvPr>
        <xdr:cNvGrpSpPr/>
      </xdr:nvGrpSpPr>
      <xdr:grpSpPr>
        <a:xfrm>
          <a:off x="10071175" y="9611591"/>
          <a:ext cx="1024932" cy="866259"/>
          <a:chOff x="9899139" y="1970356"/>
          <a:chExt cx="1028548" cy="863203"/>
        </a:xfrm>
      </xdr:grpSpPr>
      <xdr:grpSp>
        <xdr:nvGrpSpPr>
          <xdr:cNvPr id="421" name="Agrupar 420">
            <a:extLst>
              <a:ext uri="{FF2B5EF4-FFF2-40B4-BE49-F238E27FC236}">
                <a16:creationId xmlns:a16="http://schemas.microsoft.com/office/drawing/2014/main" id="{CD972431-A37E-6FBE-892B-47BDF4A3D4A4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423" name="Retângulo 422">
              <a:extLst>
                <a:ext uri="{FF2B5EF4-FFF2-40B4-BE49-F238E27FC236}">
                  <a16:creationId xmlns:a16="http://schemas.microsoft.com/office/drawing/2014/main" id="{A2492DE3-49DC-3EBE-47C2-AEF98489ECE4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24" name="CaixaDeTexto 423">
              <a:extLst>
                <a:ext uri="{FF2B5EF4-FFF2-40B4-BE49-F238E27FC236}">
                  <a16:creationId xmlns:a16="http://schemas.microsoft.com/office/drawing/2014/main" id="{BD2889C3-65B9-BD19-DD6E-B214AED04D86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422" name="Imagem 421">
            <a:extLst>
              <a:ext uri="{FF2B5EF4-FFF2-40B4-BE49-F238E27FC236}">
                <a16:creationId xmlns:a16="http://schemas.microsoft.com/office/drawing/2014/main" id="{6FDBB7AB-2E95-F02C-F3D0-7049B673130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25</xdr:row>
      <xdr:rowOff>0</xdr:rowOff>
    </xdr:from>
    <xdr:to>
      <xdr:col>19</xdr:col>
      <xdr:colOff>535440</xdr:colOff>
      <xdr:row>26</xdr:row>
      <xdr:rowOff>350</xdr:rowOff>
    </xdr:to>
    <xdr:grpSp>
      <xdr:nvGrpSpPr>
        <xdr:cNvPr id="425" name="Agrupar 424">
          <a:extLst>
            <a:ext uri="{FF2B5EF4-FFF2-40B4-BE49-F238E27FC236}">
              <a16:creationId xmlns:a16="http://schemas.microsoft.com/office/drawing/2014/main" id="{219FC1B7-710B-4195-A42D-E668667C6CC7}"/>
            </a:ext>
          </a:extLst>
        </xdr:cNvPr>
        <xdr:cNvGrpSpPr/>
      </xdr:nvGrpSpPr>
      <xdr:grpSpPr>
        <a:xfrm>
          <a:off x="11024947" y="9611591"/>
          <a:ext cx="1027084" cy="866259"/>
          <a:chOff x="10613252" y="3484008"/>
          <a:chExt cx="1034639" cy="863203"/>
        </a:xfrm>
      </xdr:grpSpPr>
      <xdr:grpSp>
        <xdr:nvGrpSpPr>
          <xdr:cNvPr id="426" name="Agrupar 425">
            <a:extLst>
              <a:ext uri="{FF2B5EF4-FFF2-40B4-BE49-F238E27FC236}">
                <a16:creationId xmlns:a16="http://schemas.microsoft.com/office/drawing/2014/main" id="{14417402-BCF1-E02A-6F5A-C9898F239084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428" name="Retângulo 427">
              <a:extLst>
                <a:ext uri="{FF2B5EF4-FFF2-40B4-BE49-F238E27FC236}">
                  <a16:creationId xmlns:a16="http://schemas.microsoft.com/office/drawing/2014/main" id="{13D7D2ED-7A0F-A7C2-5936-7E2C0DCCC87F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29" name="CaixaDeTexto 428">
              <a:extLst>
                <a:ext uri="{FF2B5EF4-FFF2-40B4-BE49-F238E27FC236}">
                  <a16:creationId xmlns:a16="http://schemas.microsoft.com/office/drawing/2014/main" id="{F1B7F19D-209A-013F-F255-74E086B621EB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427" name="Imagem 426">
            <a:extLst>
              <a:ext uri="{FF2B5EF4-FFF2-40B4-BE49-F238E27FC236}">
                <a16:creationId xmlns:a16="http://schemas.microsoft.com/office/drawing/2014/main" id="{CEBC0D60-5259-5B47-930E-C4231FE0538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550017</xdr:colOff>
      <xdr:row>25</xdr:row>
      <xdr:rowOff>0</xdr:rowOff>
    </xdr:from>
    <xdr:to>
      <xdr:col>24</xdr:col>
      <xdr:colOff>357516</xdr:colOff>
      <xdr:row>26</xdr:row>
      <xdr:rowOff>350</xdr:rowOff>
    </xdr:to>
    <xdr:grpSp>
      <xdr:nvGrpSpPr>
        <xdr:cNvPr id="435" name="Agrupar 434">
          <a:extLst>
            <a:ext uri="{FF2B5EF4-FFF2-40B4-BE49-F238E27FC236}">
              <a16:creationId xmlns:a16="http://schemas.microsoft.com/office/drawing/2014/main" id="{CE9A7B36-80B1-4F48-862E-9917BD7A8F3A}"/>
            </a:ext>
          </a:extLst>
        </xdr:cNvPr>
        <xdr:cNvGrpSpPr/>
      </xdr:nvGrpSpPr>
      <xdr:grpSpPr>
        <a:xfrm>
          <a:off x="13885017" y="9611591"/>
          <a:ext cx="1019772" cy="866259"/>
          <a:chOff x="10666547" y="1933904"/>
          <a:chExt cx="1032640" cy="863203"/>
        </a:xfrm>
      </xdr:grpSpPr>
      <xdr:grpSp>
        <xdr:nvGrpSpPr>
          <xdr:cNvPr id="436" name="Agrupar 435">
            <a:extLst>
              <a:ext uri="{FF2B5EF4-FFF2-40B4-BE49-F238E27FC236}">
                <a16:creationId xmlns:a16="http://schemas.microsoft.com/office/drawing/2014/main" id="{3144FC2D-A49E-191C-0961-0590C5176585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438" name="Retângulo 437">
              <a:extLst>
                <a:ext uri="{FF2B5EF4-FFF2-40B4-BE49-F238E27FC236}">
                  <a16:creationId xmlns:a16="http://schemas.microsoft.com/office/drawing/2014/main" id="{E46F1937-AE29-6D58-C1FC-357D199343B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9" name="CaixaDeTexto 438">
              <a:extLst>
                <a:ext uri="{FF2B5EF4-FFF2-40B4-BE49-F238E27FC236}">
                  <a16:creationId xmlns:a16="http://schemas.microsoft.com/office/drawing/2014/main" id="{8A111930-A879-6709-4711-AB237361BD79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437" name="Imagem 436">
            <a:extLst>
              <a:ext uri="{FF2B5EF4-FFF2-40B4-BE49-F238E27FC236}">
                <a16:creationId xmlns:a16="http://schemas.microsoft.com/office/drawing/2014/main" id="{A335DF0B-E4A1-F5AC-5B7A-69BA838BED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286356</xdr:colOff>
      <xdr:row>25</xdr:row>
      <xdr:rowOff>0</xdr:rowOff>
    </xdr:from>
    <xdr:to>
      <xdr:col>26</xdr:col>
      <xdr:colOff>97168</xdr:colOff>
      <xdr:row>26</xdr:row>
      <xdr:rowOff>350</xdr:rowOff>
    </xdr:to>
    <xdr:grpSp>
      <xdr:nvGrpSpPr>
        <xdr:cNvPr id="440" name="Agrupar 439">
          <a:extLst>
            <a:ext uri="{FF2B5EF4-FFF2-40B4-BE49-F238E27FC236}">
              <a16:creationId xmlns:a16="http://schemas.microsoft.com/office/drawing/2014/main" id="{946A3B18-C477-4DC9-998C-6D983FE8175D}"/>
            </a:ext>
          </a:extLst>
        </xdr:cNvPr>
        <xdr:cNvGrpSpPr/>
      </xdr:nvGrpSpPr>
      <xdr:grpSpPr>
        <a:xfrm>
          <a:off x="14833629" y="9611591"/>
          <a:ext cx="1023084" cy="866259"/>
          <a:chOff x="10666547" y="1933904"/>
          <a:chExt cx="1032640" cy="863203"/>
        </a:xfrm>
      </xdr:grpSpPr>
      <xdr:grpSp>
        <xdr:nvGrpSpPr>
          <xdr:cNvPr id="441" name="Agrupar 440">
            <a:extLst>
              <a:ext uri="{FF2B5EF4-FFF2-40B4-BE49-F238E27FC236}">
                <a16:creationId xmlns:a16="http://schemas.microsoft.com/office/drawing/2014/main" id="{D787D021-FC2F-A75B-AA70-2F01CEF9D9D8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443" name="Retângulo 442">
              <a:extLst>
                <a:ext uri="{FF2B5EF4-FFF2-40B4-BE49-F238E27FC236}">
                  <a16:creationId xmlns:a16="http://schemas.microsoft.com/office/drawing/2014/main" id="{231C7E08-E1E7-C0D4-A960-F875B6D3CB86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4" name="CaixaDeTexto 443">
              <a:extLst>
                <a:ext uri="{FF2B5EF4-FFF2-40B4-BE49-F238E27FC236}">
                  <a16:creationId xmlns:a16="http://schemas.microsoft.com/office/drawing/2014/main" id="{E6745F8F-5630-9648-C8E6-09AB423AA9EB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442" name="Imagem 441">
            <a:extLst>
              <a:ext uri="{FF2B5EF4-FFF2-40B4-BE49-F238E27FC236}">
                <a16:creationId xmlns:a16="http://schemas.microsoft.com/office/drawing/2014/main" id="{E75222A8-FC01-E320-68C6-030718E4A4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207245</xdr:colOff>
      <xdr:row>25</xdr:row>
      <xdr:rowOff>0</xdr:rowOff>
    </xdr:from>
    <xdr:to>
      <xdr:col>23</xdr:col>
      <xdr:colOff>16059</xdr:colOff>
      <xdr:row>26</xdr:row>
      <xdr:rowOff>350</xdr:rowOff>
    </xdr:to>
    <xdr:grpSp>
      <xdr:nvGrpSpPr>
        <xdr:cNvPr id="445" name="Agrupar 444">
          <a:extLst>
            <a:ext uri="{FF2B5EF4-FFF2-40B4-BE49-F238E27FC236}">
              <a16:creationId xmlns:a16="http://schemas.microsoft.com/office/drawing/2014/main" id="{884CC7C2-A87C-448D-9B12-41C12CFA86E6}"/>
            </a:ext>
          </a:extLst>
        </xdr:cNvPr>
        <xdr:cNvGrpSpPr/>
      </xdr:nvGrpSpPr>
      <xdr:grpSpPr>
        <a:xfrm>
          <a:off x="12936109" y="9611591"/>
          <a:ext cx="1021086" cy="866259"/>
          <a:chOff x="10744060" y="2050831"/>
          <a:chExt cx="1032640" cy="863203"/>
        </a:xfrm>
      </xdr:grpSpPr>
      <xdr:grpSp>
        <xdr:nvGrpSpPr>
          <xdr:cNvPr id="446" name="Agrupar 445">
            <a:extLst>
              <a:ext uri="{FF2B5EF4-FFF2-40B4-BE49-F238E27FC236}">
                <a16:creationId xmlns:a16="http://schemas.microsoft.com/office/drawing/2014/main" id="{9210A405-31FD-4E16-90A9-C495FBAB0458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448" name="Retângulo 447">
              <a:extLst>
                <a:ext uri="{FF2B5EF4-FFF2-40B4-BE49-F238E27FC236}">
                  <a16:creationId xmlns:a16="http://schemas.microsoft.com/office/drawing/2014/main" id="{F7D9A5B3-4583-2281-63C4-154469D2217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9" name="CaixaDeTexto 448">
              <a:extLst>
                <a:ext uri="{FF2B5EF4-FFF2-40B4-BE49-F238E27FC236}">
                  <a16:creationId xmlns:a16="http://schemas.microsoft.com/office/drawing/2014/main" id="{AA5605B1-91F4-D5D0-2F09-7C17906998D9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447" name="Imagem 446">
            <a:extLst>
              <a:ext uri="{FF2B5EF4-FFF2-40B4-BE49-F238E27FC236}">
                <a16:creationId xmlns:a16="http://schemas.microsoft.com/office/drawing/2014/main" id="{BAEC9E91-02EA-289D-B324-87C4DADF2D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25</xdr:row>
      <xdr:rowOff>0</xdr:rowOff>
    </xdr:from>
    <xdr:to>
      <xdr:col>11</xdr:col>
      <xdr:colOff>352792</xdr:colOff>
      <xdr:row>26</xdr:row>
      <xdr:rowOff>350</xdr:rowOff>
    </xdr:to>
    <xdr:grpSp>
      <xdr:nvGrpSpPr>
        <xdr:cNvPr id="450" name="Agrupar 449">
          <a:extLst>
            <a:ext uri="{FF2B5EF4-FFF2-40B4-BE49-F238E27FC236}">
              <a16:creationId xmlns:a16="http://schemas.microsoft.com/office/drawing/2014/main" id="{E5603830-7FA8-4DD8-B0D1-358270299402}"/>
            </a:ext>
          </a:extLst>
        </xdr:cNvPr>
        <xdr:cNvGrpSpPr/>
      </xdr:nvGrpSpPr>
      <xdr:grpSpPr>
        <a:xfrm>
          <a:off x="5945988" y="9611591"/>
          <a:ext cx="1074304" cy="866259"/>
          <a:chOff x="8052741" y="2471157"/>
          <a:chExt cx="1082687" cy="863203"/>
        </a:xfrm>
      </xdr:grpSpPr>
      <xdr:grpSp>
        <xdr:nvGrpSpPr>
          <xdr:cNvPr id="451" name="Agrupar 450">
            <a:extLst>
              <a:ext uri="{FF2B5EF4-FFF2-40B4-BE49-F238E27FC236}">
                <a16:creationId xmlns:a16="http://schemas.microsoft.com/office/drawing/2014/main" id="{4466EEBB-E1A9-7FCB-21D3-FDD1B22C97D2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453" name="Retângulo 452">
              <a:extLst>
                <a:ext uri="{FF2B5EF4-FFF2-40B4-BE49-F238E27FC236}">
                  <a16:creationId xmlns:a16="http://schemas.microsoft.com/office/drawing/2014/main" id="{88038763-902A-6B5A-C952-71DF97091D74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4" name="CaixaDeTexto 453">
              <a:extLst>
                <a:ext uri="{FF2B5EF4-FFF2-40B4-BE49-F238E27FC236}">
                  <a16:creationId xmlns:a16="http://schemas.microsoft.com/office/drawing/2014/main" id="{C0017707-3458-0A44-B439-D407C7BC9DC7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452" name="Imagem 451">
            <a:extLst>
              <a:ext uri="{FF2B5EF4-FFF2-40B4-BE49-F238E27FC236}">
                <a16:creationId xmlns:a16="http://schemas.microsoft.com/office/drawing/2014/main" id="{9D02D7FE-D85D-9E5F-E61A-5DF622E436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26008</xdr:colOff>
      <xdr:row>25</xdr:row>
      <xdr:rowOff>0</xdr:rowOff>
    </xdr:from>
    <xdr:to>
      <xdr:col>27</xdr:col>
      <xdr:colOff>457555</xdr:colOff>
      <xdr:row>26</xdr:row>
      <xdr:rowOff>350</xdr:rowOff>
    </xdr:to>
    <xdr:grpSp>
      <xdr:nvGrpSpPr>
        <xdr:cNvPr id="455" name="Agrupar 454">
          <a:extLst>
            <a:ext uri="{FF2B5EF4-FFF2-40B4-BE49-F238E27FC236}">
              <a16:creationId xmlns:a16="http://schemas.microsoft.com/office/drawing/2014/main" id="{99F5754A-9ED6-4732-B0B6-74E1C5BB4199}"/>
            </a:ext>
          </a:extLst>
        </xdr:cNvPr>
        <xdr:cNvGrpSpPr/>
      </xdr:nvGrpSpPr>
      <xdr:grpSpPr>
        <a:xfrm>
          <a:off x="15785553" y="9611591"/>
          <a:ext cx="1037684" cy="866259"/>
          <a:chOff x="7623418" y="2467632"/>
          <a:chExt cx="1034665" cy="863203"/>
        </a:xfrm>
      </xdr:grpSpPr>
      <xdr:grpSp>
        <xdr:nvGrpSpPr>
          <xdr:cNvPr id="456" name="Agrupar 455">
            <a:extLst>
              <a:ext uri="{FF2B5EF4-FFF2-40B4-BE49-F238E27FC236}">
                <a16:creationId xmlns:a16="http://schemas.microsoft.com/office/drawing/2014/main" id="{07F12B38-B942-2B6D-F2D5-67E3719FBA64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458" name="Retângulo 457">
              <a:extLst>
                <a:ext uri="{FF2B5EF4-FFF2-40B4-BE49-F238E27FC236}">
                  <a16:creationId xmlns:a16="http://schemas.microsoft.com/office/drawing/2014/main" id="{DC36B265-063F-2DD5-A795-5E4C70FAA119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9" name="CaixaDeTexto 458">
              <a:extLst>
                <a:ext uri="{FF2B5EF4-FFF2-40B4-BE49-F238E27FC236}">
                  <a16:creationId xmlns:a16="http://schemas.microsoft.com/office/drawing/2014/main" id="{B9054B58-31D9-2E9E-7B5A-E3075017EB3E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457" name="Imagem 456">
            <a:extLst>
              <a:ext uri="{FF2B5EF4-FFF2-40B4-BE49-F238E27FC236}">
                <a16:creationId xmlns:a16="http://schemas.microsoft.com/office/drawing/2014/main" id="{4F7D0006-2D0A-E59F-E55A-6B67432F9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386395</xdr:colOff>
      <xdr:row>25</xdr:row>
      <xdr:rowOff>11028</xdr:rowOff>
    </xdr:from>
    <xdr:to>
      <xdr:col>29</xdr:col>
      <xdr:colOff>311782</xdr:colOff>
      <xdr:row>26</xdr:row>
      <xdr:rowOff>4449</xdr:rowOff>
    </xdr:to>
    <xdr:grpSp>
      <xdr:nvGrpSpPr>
        <xdr:cNvPr id="460" name="Agrupar 459">
          <a:extLst>
            <a:ext uri="{FF2B5EF4-FFF2-40B4-BE49-F238E27FC236}">
              <a16:creationId xmlns:a16="http://schemas.microsoft.com/office/drawing/2014/main" id="{1CB216AB-226E-416E-8DBC-055B21097200}"/>
            </a:ext>
          </a:extLst>
        </xdr:cNvPr>
        <xdr:cNvGrpSpPr/>
      </xdr:nvGrpSpPr>
      <xdr:grpSpPr>
        <a:xfrm>
          <a:off x="16752077" y="9622619"/>
          <a:ext cx="1137660" cy="859330"/>
          <a:chOff x="7441106" y="2890839"/>
          <a:chExt cx="1139825" cy="839477"/>
        </a:xfrm>
      </xdr:grpSpPr>
      <xdr:grpSp>
        <xdr:nvGrpSpPr>
          <xdr:cNvPr id="461" name="Agrupar 460">
            <a:extLst>
              <a:ext uri="{FF2B5EF4-FFF2-40B4-BE49-F238E27FC236}">
                <a16:creationId xmlns:a16="http://schemas.microsoft.com/office/drawing/2014/main" id="{A4D86091-3E63-69F9-286B-A80114442703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463" name="Retângulo 462">
              <a:extLst>
                <a:ext uri="{FF2B5EF4-FFF2-40B4-BE49-F238E27FC236}">
                  <a16:creationId xmlns:a16="http://schemas.microsoft.com/office/drawing/2014/main" id="{C2890509-FA18-A123-9419-830101F7C555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64" name="CaixaDeTexto 463">
              <a:extLst>
                <a:ext uri="{FF2B5EF4-FFF2-40B4-BE49-F238E27FC236}">
                  <a16:creationId xmlns:a16="http://schemas.microsoft.com/office/drawing/2014/main" id="{DD51630F-543E-26A0-2A00-2D32DD0A5F03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462" name="Imagem 461">
            <a:extLst>
              <a:ext uri="{FF2B5EF4-FFF2-40B4-BE49-F238E27FC236}">
                <a16:creationId xmlns:a16="http://schemas.microsoft.com/office/drawing/2014/main" id="{48799CEA-EAFD-AE31-2689-DE0C409034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10</xdr:col>
      <xdr:colOff>427654</xdr:colOff>
      <xdr:row>26</xdr:row>
      <xdr:rowOff>9720</xdr:rowOff>
    </xdr:from>
    <xdr:ext cx="6178166" cy="483722"/>
    <xdr:sp macro="" textlink="">
      <xdr:nvSpPr>
        <xdr:cNvPr id="465" name="CaixaDeTexto 464">
          <a:extLst>
            <a:ext uri="{FF2B5EF4-FFF2-40B4-BE49-F238E27FC236}">
              <a16:creationId xmlns:a16="http://schemas.microsoft.com/office/drawing/2014/main" id="{62133700-F7A0-4EC1-A83C-A48DCE1F1AB7}"/>
            </a:ext>
          </a:extLst>
        </xdr:cNvPr>
        <xdr:cNvSpPr txBox="1"/>
      </xdr:nvSpPr>
      <xdr:spPr>
        <a:xfrm>
          <a:off x="6618904" y="10391970"/>
          <a:ext cx="6178166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Matriz Y Barra de Sequência Positiva e Negativa</a:t>
          </a:r>
        </a:p>
      </xdr:txBody>
    </xdr:sp>
    <xdr:clientData/>
  </xdr:oneCellAnchor>
  <xdr:twoCellAnchor>
    <xdr:from>
      <xdr:col>19</xdr:col>
      <xdr:colOff>381000</xdr:colOff>
      <xdr:row>25</xdr:row>
      <xdr:rowOff>0</xdr:rowOff>
    </xdr:from>
    <xdr:to>
      <xdr:col>21</xdr:col>
      <xdr:colOff>195124</xdr:colOff>
      <xdr:row>26</xdr:row>
      <xdr:rowOff>7327</xdr:rowOff>
    </xdr:to>
    <xdr:grpSp>
      <xdr:nvGrpSpPr>
        <xdr:cNvPr id="466" name="Agrupar 465">
          <a:extLst>
            <a:ext uri="{FF2B5EF4-FFF2-40B4-BE49-F238E27FC236}">
              <a16:creationId xmlns:a16="http://schemas.microsoft.com/office/drawing/2014/main" id="{7788509E-9857-48EC-AE1F-35DA4C96F67C}"/>
            </a:ext>
          </a:extLst>
        </xdr:cNvPr>
        <xdr:cNvGrpSpPr/>
      </xdr:nvGrpSpPr>
      <xdr:grpSpPr>
        <a:xfrm>
          <a:off x="11897591" y="9611591"/>
          <a:ext cx="1026397" cy="873236"/>
          <a:chOff x="10744060" y="2050831"/>
          <a:chExt cx="1032640" cy="885118"/>
        </a:xfrm>
      </xdr:grpSpPr>
      <xdr:grpSp>
        <xdr:nvGrpSpPr>
          <xdr:cNvPr id="467" name="Agrupar 466">
            <a:extLst>
              <a:ext uri="{FF2B5EF4-FFF2-40B4-BE49-F238E27FC236}">
                <a16:creationId xmlns:a16="http://schemas.microsoft.com/office/drawing/2014/main" id="{B14F0F97-B913-0540-7BC0-04CB967952DA}"/>
              </a:ext>
            </a:extLst>
          </xdr:cNvPr>
          <xdr:cNvGrpSpPr/>
        </xdr:nvGrpSpPr>
        <xdr:grpSpPr>
          <a:xfrm>
            <a:off x="10744060" y="2050831"/>
            <a:ext cx="1032640" cy="885118"/>
            <a:chOff x="7510696" y="0"/>
            <a:chExt cx="1030879" cy="892777"/>
          </a:xfrm>
        </xdr:grpSpPr>
        <xdr:sp macro="" textlink="">
          <xdr:nvSpPr>
            <xdr:cNvPr id="469" name="Retângulo 468">
              <a:extLst>
                <a:ext uri="{FF2B5EF4-FFF2-40B4-BE49-F238E27FC236}">
                  <a16:creationId xmlns:a16="http://schemas.microsoft.com/office/drawing/2014/main" id="{8023F74A-95A8-7F2E-E522-C9FF2BE577FE}"/>
                </a:ext>
              </a:extLst>
            </xdr:cNvPr>
            <xdr:cNvSpPr/>
          </xdr:nvSpPr>
          <xdr:spPr>
            <a:xfrm>
              <a:off x="7510696" y="0"/>
              <a:ext cx="1030879" cy="89277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70" name="CaixaDeTexto 469">
              <a:extLst>
                <a:ext uri="{FF2B5EF4-FFF2-40B4-BE49-F238E27FC236}">
                  <a16:creationId xmlns:a16="http://schemas.microsoft.com/office/drawing/2014/main" id="{70E3D7A0-DFA1-6E9F-D7BF-BD9ECBA1C3F9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(+) (-)</a:t>
              </a:r>
            </a:p>
          </xdr:txBody>
        </xdr:sp>
      </xdr:grpSp>
      <xdr:pic>
        <xdr:nvPicPr>
          <xdr:cNvPr id="468" name="Imagem 467">
            <a:extLst>
              <a:ext uri="{FF2B5EF4-FFF2-40B4-BE49-F238E27FC236}">
                <a16:creationId xmlns:a16="http://schemas.microsoft.com/office/drawing/2014/main" id="{CE0C53BB-CDF1-7692-2DD1-A2EEF09FB1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30</xdr:row>
      <xdr:rowOff>0</xdr:rowOff>
    </xdr:from>
    <xdr:to>
      <xdr:col>4</xdr:col>
      <xdr:colOff>129210</xdr:colOff>
      <xdr:row>30</xdr:row>
      <xdr:rowOff>861390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F5BFF819-F1CA-4FE0-BB32-22B6F5B7F0D8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30</xdr:row>
      <xdr:rowOff>44868</xdr:rowOff>
    </xdr:from>
    <xdr:to>
      <xdr:col>1</xdr:col>
      <xdr:colOff>198951</xdr:colOff>
      <xdr:row>30</xdr:row>
      <xdr:rowOff>744273</xdr:rowOff>
    </xdr:to>
    <xdr:sp macro="" textlink="">
      <xdr:nvSpPr>
        <xdr:cNvPr id="472" name="Raio 471">
          <a:extLst>
            <a:ext uri="{FF2B5EF4-FFF2-40B4-BE49-F238E27FC236}">
              <a16:creationId xmlns:a16="http://schemas.microsoft.com/office/drawing/2014/main" id="{926B99C0-08EC-4B4E-893E-205C4C0E687A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30</xdr:row>
      <xdr:rowOff>88624</xdr:rowOff>
    </xdr:from>
    <xdr:ext cx="5325718" cy="593239"/>
    <xdr:sp macro="" textlink="">
      <xdr:nvSpPr>
        <xdr:cNvPr id="473" name="CaixaDeTexto 472">
          <a:extLst>
            <a:ext uri="{FF2B5EF4-FFF2-40B4-BE49-F238E27FC236}">
              <a16:creationId xmlns:a16="http://schemas.microsoft.com/office/drawing/2014/main" id="{4E78E9AD-D572-45E0-9EF5-36C30D7D8AE2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11</xdr:col>
      <xdr:colOff>281632</xdr:colOff>
      <xdr:row>30</xdr:row>
      <xdr:rowOff>0</xdr:rowOff>
    </xdr:from>
    <xdr:to>
      <xdr:col>13</xdr:col>
      <xdr:colOff>156332</xdr:colOff>
      <xdr:row>31</xdr:row>
      <xdr:rowOff>350</xdr:rowOff>
    </xdr:to>
    <xdr:grpSp>
      <xdr:nvGrpSpPr>
        <xdr:cNvPr id="474" name="Agrupar 473">
          <a:extLst>
            <a:ext uri="{FF2B5EF4-FFF2-40B4-BE49-F238E27FC236}">
              <a16:creationId xmlns:a16="http://schemas.microsoft.com/office/drawing/2014/main" id="{80D658B8-DD5D-4344-B59C-659C6AF6A1BF}"/>
            </a:ext>
          </a:extLst>
        </xdr:cNvPr>
        <xdr:cNvGrpSpPr/>
      </xdr:nvGrpSpPr>
      <xdr:grpSpPr>
        <a:xfrm>
          <a:off x="6949132" y="11533909"/>
          <a:ext cx="1086973" cy="866259"/>
          <a:chOff x="7411601" y="0"/>
          <a:chExt cx="1097234" cy="870672"/>
        </a:xfrm>
      </xdr:grpSpPr>
      <xdr:sp macro="" textlink="">
        <xdr:nvSpPr>
          <xdr:cNvPr id="475" name="Retângulo 474">
            <a:extLst>
              <a:ext uri="{FF2B5EF4-FFF2-40B4-BE49-F238E27FC236}">
                <a16:creationId xmlns:a16="http://schemas.microsoft.com/office/drawing/2014/main" id="{9907464F-295B-BC44-2AA7-ECD022945470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6" name="Imagem 475">
            <a:extLst>
              <a:ext uri="{FF2B5EF4-FFF2-40B4-BE49-F238E27FC236}">
                <a16:creationId xmlns:a16="http://schemas.microsoft.com/office/drawing/2014/main" id="{EA07C5CD-5B68-752C-2CC5-39719461678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477" name="CaixaDeTexto 476">
            <a:extLst>
              <a:ext uri="{FF2B5EF4-FFF2-40B4-BE49-F238E27FC236}">
                <a16:creationId xmlns:a16="http://schemas.microsoft.com/office/drawing/2014/main" id="{5EE20723-7566-F565-4174-F116F07837C3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13</xdr:col>
      <xdr:colOff>85172</xdr:colOff>
      <xdr:row>30</xdr:row>
      <xdr:rowOff>0</xdr:rowOff>
    </xdr:from>
    <xdr:to>
      <xdr:col>15</xdr:col>
      <xdr:colOff>94899</xdr:colOff>
      <xdr:row>31</xdr:row>
      <xdr:rowOff>350</xdr:rowOff>
    </xdr:to>
    <xdr:grpSp>
      <xdr:nvGrpSpPr>
        <xdr:cNvPr id="478" name="Agrupar 477">
          <a:extLst>
            <a:ext uri="{FF2B5EF4-FFF2-40B4-BE49-F238E27FC236}">
              <a16:creationId xmlns:a16="http://schemas.microsoft.com/office/drawing/2014/main" id="{A1BF22F3-D208-4ECC-8B8D-B403A10BEF6F}"/>
            </a:ext>
          </a:extLst>
        </xdr:cNvPr>
        <xdr:cNvGrpSpPr/>
      </xdr:nvGrpSpPr>
      <xdr:grpSpPr>
        <a:xfrm>
          <a:off x="7964945" y="11533909"/>
          <a:ext cx="1221999" cy="866259"/>
          <a:chOff x="10965361" y="1520405"/>
          <a:chExt cx="1231803" cy="863203"/>
        </a:xfrm>
      </xdr:grpSpPr>
      <xdr:grpSp>
        <xdr:nvGrpSpPr>
          <xdr:cNvPr id="479" name="Agrupar 478">
            <a:extLst>
              <a:ext uri="{FF2B5EF4-FFF2-40B4-BE49-F238E27FC236}">
                <a16:creationId xmlns:a16="http://schemas.microsoft.com/office/drawing/2014/main" id="{ADF78026-5443-29EC-69BB-B8F9DF166482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481" name="Retângulo 480">
              <a:extLst>
                <a:ext uri="{FF2B5EF4-FFF2-40B4-BE49-F238E27FC236}">
                  <a16:creationId xmlns:a16="http://schemas.microsoft.com/office/drawing/2014/main" id="{35BCB86B-A795-DB64-80C7-16F898000D8A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2" name="CaixaDeTexto 481">
              <a:extLst>
                <a:ext uri="{FF2B5EF4-FFF2-40B4-BE49-F238E27FC236}">
                  <a16:creationId xmlns:a16="http://schemas.microsoft.com/office/drawing/2014/main" id="{C1E5CEEA-7F81-29D8-C171-BE2B1FB8B83F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480" name="Imagem 479">
            <a:extLst>
              <a:ext uri="{FF2B5EF4-FFF2-40B4-BE49-F238E27FC236}">
                <a16:creationId xmlns:a16="http://schemas.microsoft.com/office/drawing/2014/main" id="{41C66313-6828-E369-9FCF-AC965485FCD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30</xdr:row>
      <xdr:rowOff>0</xdr:rowOff>
    </xdr:from>
    <xdr:to>
      <xdr:col>16</xdr:col>
      <xdr:colOff>444153</xdr:colOff>
      <xdr:row>31</xdr:row>
      <xdr:rowOff>350</xdr:rowOff>
    </xdr:to>
    <xdr:grpSp>
      <xdr:nvGrpSpPr>
        <xdr:cNvPr id="483" name="Agrupar 482">
          <a:extLst>
            <a:ext uri="{FF2B5EF4-FFF2-40B4-BE49-F238E27FC236}">
              <a16:creationId xmlns:a16="http://schemas.microsoft.com/office/drawing/2014/main" id="{D29DB76B-562A-4B32-BDAB-2AB934867EF6}"/>
            </a:ext>
          </a:extLst>
        </xdr:cNvPr>
        <xdr:cNvGrpSpPr/>
      </xdr:nvGrpSpPr>
      <xdr:grpSpPr>
        <a:xfrm>
          <a:off x="9115784" y="11533909"/>
          <a:ext cx="1026551" cy="866259"/>
          <a:chOff x="10249990" y="1546698"/>
          <a:chExt cx="1026770" cy="863203"/>
        </a:xfrm>
      </xdr:grpSpPr>
      <xdr:grpSp>
        <xdr:nvGrpSpPr>
          <xdr:cNvPr id="484" name="Agrupar 483">
            <a:extLst>
              <a:ext uri="{FF2B5EF4-FFF2-40B4-BE49-F238E27FC236}">
                <a16:creationId xmlns:a16="http://schemas.microsoft.com/office/drawing/2014/main" id="{CDC7AD2A-E908-A638-36B6-AB2B6948F9F0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486" name="Retângulo 485">
              <a:extLst>
                <a:ext uri="{FF2B5EF4-FFF2-40B4-BE49-F238E27FC236}">
                  <a16:creationId xmlns:a16="http://schemas.microsoft.com/office/drawing/2014/main" id="{4878F62B-D632-CF72-1474-5E98D4D045F6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7" name="CaixaDeTexto 486">
              <a:extLst>
                <a:ext uri="{FF2B5EF4-FFF2-40B4-BE49-F238E27FC236}">
                  <a16:creationId xmlns:a16="http://schemas.microsoft.com/office/drawing/2014/main" id="{728E61C3-1FEF-D3A5-482B-3D6F8C512A42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485" name="Imagem 484">
            <a:extLst>
              <a:ext uri="{FF2B5EF4-FFF2-40B4-BE49-F238E27FC236}">
                <a16:creationId xmlns:a16="http://schemas.microsoft.com/office/drawing/2014/main" id="{ABB11B52-2E31-66D4-3843-34C3D6932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372993</xdr:colOff>
      <xdr:row>30</xdr:row>
      <xdr:rowOff>0</xdr:rowOff>
    </xdr:from>
    <xdr:to>
      <xdr:col>18</xdr:col>
      <xdr:colOff>185652</xdr:colOff>
      <xdr:row>31</xdr:row>
      <xdr:rowOff>350</xdr:rowOff>
    </xdr:to>
    <xdr:grpSp>
      <xdr:nvGrpSpPr>
        <xdr:cNvPr id="488" name="Agrupar 487">
          <a:extLst>
            <a:ext uri="{FF2B5EF4-FFF2-40B4-BE49-F238E27FC236}">
              <a16:creationId xmlns:a16="http://schemas.microsoft.com/office/drawing/2014/main" id="{35DD8EE7-392D-4291-A684-1788D13154E6}"/>
            </a:ext>
          </a:extLst>
        </xdr:cNvPr>
        <xdr:cNvGrpSpPr/>
      </xdr:nvGrpSpPr>
      <xdr:grpSpPr>
        <a:xfrm>
          <a:off x="10071175" y="11533909"/>
          <a:ext cx="1024932" cy="866259"/>
          <a:chOff x="9899139" y="1970356"/>
          <a:chExt cx="1028548" cy="863203"/>
        </a:xfrm>
      </xdr:grpSpPr>
      <xdr:grpSp>
        <xdr:nvGrpSpPr>
          <xdr:cNvPr id="489" name="Agrupar 488">
            <a:extLst>
              <a:ext uri="{FF2B5EF4-FFF2-40B4-BE49-F238E27FC236}">
                <a16:creationId xmlns:a16="http://schemas.microsoft.com/office/drawing/2014/main" id="{CBD068B0-555B-D80E-DA5F-053B61DC66DF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491" name="Retângulo 490">
              <a:extLst>
                <a:ext uri="{FF2B5EF4-FFF2-40B4-BE49-F238E27FC236}">
                  <a16:creationId xmlns:a16="http://schemas.microsoft.com/office/drawing/2014/main" id="{B69FA463-98B0-F868-0B68-FCD79B15562A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2" name="CaixaDeTexto 491">
              <a:extLst>
                <a:ext uri="{FF2B5EF4-FFF2-40B4-BE49-F238E27FC236}">
                  <a16:creationId xmlns:a16="http://schemas.microsoft.com/office/drawing/2014/main" id="{DC98C221-860C-559F-4FA3-3847B357602A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490" name="Imagem 489">
            <a:extLst>
              <a:ext uri="{FF2B5EF4-FFF2-40B4-BE49-F238E27FC236}">
                <a16:creationId xmlns:a16="http://schemas.microsoft.com/office/drawing/2014/main" id="{1D806BD5-F118-6785-DC55-FD1A7DE4E1A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30</xdr:row>
      <xdr:rowOff>0</xdr:rowOff>
    </xdr:from>
    <xdr:to>
      <xdr:col>19</xdr:col>
      <xdr:colOff>535440</xdr:colOff>
      <xdr:row>31</xdr:row>
      <xdr:rowOff>350</xdr:rowOff>
    </xdr:to>
    <xdr:grpSp>
      <xdr:nvGrpSpPr>
        <xdr:cNvPr id="493" name="Agrupar 492">
          <a:extLst>
            <a:ext uri="{FF2B5EF4-FFF2-40B4-BE49-F238E27FC236}">
              <a16:creationId xmlns:a16="http://schemas.microsoft.com/office/drawing/2014/main" id="{1C9798F2-56B2-49F1-AEB0-6A0499750CD3}"/>
            </a:ext>
          </a:extLst>
        </xdr:cNvPr>
        <xdr:cNvGrpSpPr/>
      </xdr:nvGrpSpPr>
      <xdr:grpSpPr>
        <a:xfrm>
          <a:off x="11024947" y="11533909"/>
          <a:ext cx="1027084" cy="866259"/>
          <a:chOff x="10613252" y="3484008"/>
          <a:chExt cx="1034639" cy="863203"/>
        </a:xfrm>
      </xdr:grpSpPr>
      <xdr:grpSp>
        <xdr:nvGrpSpPr>
          <xdr:cNvPr id="494" name="Agrupar 493">
            <a:extLst>
              <a:ext uri="{FF2B5EF4-FFF2-40B4-BE49-F238E27FC236}">
                <a16:creationId xmlns:a16="http://schemas.microsoft.com/office/drawing/2014/main" id="{B8DFE292-D1CA-9DD9-E573-944E7DEF10CB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496" name="Retângulo 495">
              <a:extLst>
                <a:ext uri="{FF2B5EF4-FFF2-40B4-BE49-F238E27FC236}">
                  <a16:creationId xmlns:a16="http://schemas.microsoft.com/office/drawing/2014/main" id="{A1E31C7A-B711-21E9-9051-D0A1139B000F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7" name="CaixaDeTexto 496">
              <a:extLst>
                <a:ext uri="{FF2B5EF4-FFF2-40B4-BE49-F238E27FC236}">
                  <a16:creationId xmlns:a16="http://schemas.microsoft.com/office/drawing/2014/main" id="{9EE58B5F-B1FA-F8EB-7ED7-292B9048F073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495" name="Imagem 494">
            <a:extLst>
              <a:ext uri="{FF2B5EF4-FFF2-40B4-BE49-F238E27FC236}">
                <a16:creationId xmlns:a16="http://schemas.microsoft.com/office/drawing/2014/main" id="{AC4C52BF-0A3F-1A57-C04E-FBBDCCD208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464280</xdr:colOff>
      <xdr:row>30</xdr:row>
      <xdr:rowOff>0</xdr:rowOff>
    </xdr:from>
    <xdr:to>
      <xdr:col>21</xdr:col>
      <xdr:colOff>278405</xdr:colOff>
      <xdr:row>31</xdr:row>
      <xdr:rowOff>350</xdr:rowOff>
    </xdr:to>
    <xdr:grpSp>
      <xdr:nvGrpSpPr>
        <xdr:cNvPr id="498" name="Agrupar 497">
          <a:extLst>
            <a:ext uri="{FF2B5EF4-FFF2-40B4-BE49-F238E27FC236}">
              <a16:creationId xmlns:a16="http://schemas.microsoft.com/office/drawing/2014/main" id="{1CCD52E1-FD5A-44A3-BB85-1A32620727DB}"/>
            </a:ext>
          </a:extLst>
        </xdr:cNvPr>
        <xdr:cNvGrpSpPr/>
      </xdr:nvGrpSpPr>
      <xdr:grpSpPr>
        <a:xfrm>
          <a:off x="11980871" y="11533909"/>
          <a:ext cx="1026398" cy="866259"/>
          <a:chOff x="10744060" y="2050831"/>
          <a:chExt cx="1032640" cy="863203"/>
        </a:xfrm>
      </xdr:grpSpPr>
      <xdr:grpSp>
        <xdr:nvGrpSpPr>
          <xdr:cNvPr id="499" name="Agrupar 498">
            <a:extLst>
              <a:ext uri="{FF2B5EF4-FFF2-40B4-BE49-F238E27FC236}">
                <a16:creationId xmlns:a16="http://schemas.microsoft.com/office/drawing/2014/main" id="{F9537545-1374-1931-83DB-D597FD471868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501" name="Retângulo 500">
              <a:extLst>
                <a:ext uri="{FF2B5EF4-FFF2-40B4-BE49-F238E27FC236}">
                  <a16:creationId xmlns:a16="http://schemas.microsoft.com/office/drawing/2014/main" id="{0BA32A3A-D193-34B0-2724-6078F4DCF72D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2" name="CaixaDeTexto 501">
              <a:extLst>
                <a:ext uri="{FF2B5EF4-FFF2-40B4-BE49-F238E27FC236}">
                  <a16:creationId xmlns:a16="http://schemas.microsoft.com/office/drawing/2014/main" id="{81537E8D-DA78-1671-C3C1-57B17FBA8F88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500" name="Imagem 499">
            <a:extLst>
              <a:ext uri="{FF2B5EF4-FFF2-40B4-BE49-F238E27FC236}">
                <a16:creationId xmlns:a16="http://schemas.microsoft.com/office/drawing/2014/main" id="{02FEA6AA-CFAC-DFD2-6B93-60757FE858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550017</xdr:colOff>
      <xdr:row>30</xdr:row>
      <xdr:rowOff>0</xdr:rowOff>
    </xdr:from>
    <xdr:to>
      <xdr:col>24</xdr:col>
      <xdr:colOff>357516</xdr:colOff>
      <xdr:row>31</xdr:row>
      <xdr:rowOff>350</xdr:rowOff>
    </xdr:to>
    <xdr:grpSp>
      <xdr:nvGrpSpPr>
        <xdr:cNvPr id="503" name="Agrupar 502">
          <a:extLst>
            <a:ext uri="{FF2B5EF4-FFF2-40B4-BE49-F238E27FC236}">
              <a16:creationId xmlns:a16="http://schemas.microsoft.com/office/drawing/2014/main" id="{A6897F42-03D8-4BB4-840F-2DDAA84E022A}"/>
            </a:ext>
          </a:extLst>
        </xdr:cNvPr>
        <xdr:cNvGrpSpPr/>
      </xdr:nvGrpSpPr>
      <xdr:grpSpPr>
        <a:xfrm>
          <a:off x="13885017" y="11533909"/>
          <a:ext cx="1019772" cy="866259"/>
          <a:chOff x="10666547" y="1933904"/>
          <a:chExt cx="1032640" cy="863203"/>
        </a:xfrm>
      </xdr:grpSpPr>
      <xdr:grpSp>
        <xdr:nvGrpSpPr>
          <xdr:cNvPr id="504" name="Agrupar 503">
            <a:extLst>
              <a:ext uri="{FF2B5EF4-FFF2-40B4-BE49-F238E27FC236}">
                <a16:creationId xmlns:a16="http://schemas.microsoft.com/office/drawing/2014/main" id="{2AFF8270-B539-4265-564C-58CE6DA04DEB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506" name="Retângulo 505">
              <a:extLst>
                <a:ext uri="{FF2B5EF4-FFF2-40B4-BE49-F238E27FC236}">
                  <a16:creationId xmlns:a16="http://schemas.microsoft.com/office/drawing/2014/main" id="{729E2FC1-5EE8-8128-EBEF-1AE67D7DE70F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7" name="CaixaDeTexto 506">
              <a:extLst>
                <a:ext uri="{FF2B5EF4-FFF2-40B4-BE49-F238E27FC236}">
                  <a16:creationId xmlns:a16="http://schemas.microsoft.com/office/drawing/2014/main" id="{E4CC3508-D237-CB4F-432D-AF7DE5D21C30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505" name="Imagem 504">
            <a:extLst>
              <a:ext uri="{FF2B5EF4-FFF2-40B4-BE49-F238E27FC236}">
                <a16:creationId xmlns:a16="http://schemas.microsoft.com/office/drawing/2014/main" id="{C52B943A-DA73-7BD6-DB78-832C0E509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286356</xdr:colOff>
      <xdr:row>30</xdr:row>
      <xdr:rowOff>0</xdr:rowOff>
    </xdr:from>
    <xdr:to>
      <xdr:col>26</xdr:col>
      <xdr:colOff>97168</xdr:colOff>
      <xdr:row>31</xdr:row>
      <xdr:rowOff>350</xdr:rowOff>
    </xdr:to>
    <xdr:grpSp>
      <xdr:nvGrpSpPr>
        <xdr:cNvPr id="508" name="Agrupar 507">
          <a:extLst>
            <a:ext uri="{FF2B5EF4-FFF2-40B4-BE49-F238E27FC236}">
              <a16:creationId xmlns:a16="http://schemas.microsoft.com/office/drawing/2014/main" id="{D5AEE3D1-8562-45B1-9AF1-ADE4EE81D68F}"/>
            </a:ext>
          </a:extLst>
        </xdr:cNvPr>
        <xdr:cNvGrpSpPr/>
      </xdr:nvGrpSpPr>
      <xdr:grpSpPr>
        <a:xfrm>
          <a:off x="14833629" y="11533909"/>
          <a:ext cx="1023084" cy="866259"/>
          <a:chOff x="10666547" y="1933904"/>
          <a:chExt cx="1032640" cy="863203"/>
        </a:xfrm>
      </xdr:grpSpPr>
      <xdr:grpSp>
        <xdr:nvGrpSpPr>
          <xdr:cNvPr id="509" name="Agrupar 508">
            <a:extLst>
              <a:ext uri="{FF2B5EF4-FFF2-40B4-BE49-F238E27FC236}">
                <a16:creationId xmlns:a16="http://schemas.microsoft.com/office/drawing/2014/main" id="{7559D1B2-090D-3524-F958-777967F598C0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511" name="Retângulo 510">
              <a:extLst>
                <a:ext uri="{FF2B5EF4-FFF2-40B4-BE49-F238E27FC236}">
                  <a16:creationId xmlns:a16="http://schemas.microsoft.com/office/drawing/2014/main" id="{0FF27E08-09FC-3A53-B857-45FE2DDAB156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12" name="CaixaDeTexto 511">
              <a:extLst>
                <a:ext uri="{FF2B5EF4-FFF2-40B4-BE49-F238E27FC236}">
                  <a16:creationId xmlns:a16="http://schemas.microsoft.com/office/drawing/2014/main" id="{B74E82C8-9F06-F093-20D2-8AA3EB7F6E3F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510" name="Imagem 509">
            <a:extLst>
              <a:ext uri="{FF2B5EF4-FFF2-40B4-BE49-F238E27FC236}">
                <a16:creationId xmlns:a16="http://schemas.microsoft.com/office/drawing/2014/main" id="{DB141A6B-D5A4-A362-C96C-7321276F01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30</xdr:row>
      <xdr:rowOff>0</xdr:rowOff>
    </xdr:from>
    <xdr:to>
      <xdr:col>11</xdr:col>
      <xdr:colOff>352792</xdr:colOff>
      <xdr:row>31</xdr:row>
      <xdr:rowOff>350</xdr:rowOff>
    </xdr:to>
    <xdr:grpSp>
      <xdr:nvGrpSpPr>
        <xdr:cNvPr id="518" name="Agrupar 517">
          <a:extLst>
            <a:ext uri="{FF2B5EF4-FFF2-40B4-BE49-F238E27FC236}">
              <a16:creationId xmlns:a16="http://schemas.microsoft.com/office/drawing/2014/main" id="{96F20DB8-6652-455A-92B0-171D578B3F82}"/>
            </a:ext>
          </a:extLst>
        </xdr:cNvPr>
        <xdr:cNvGrpSpPr/>
      </xdr:nvGrpSpPr>
      <xdr:grpSpPr>
        <a:xfrm>
          <a:off x="5945988" y="11533909"/>
          <a:ext cx="1074304" cy="866259"/>
          <a:chOff x="8052741" y="2471157"/>
          <a:chExt cx="1082687" cy="863203"/>
        </a:xfrm>
      </xdr:grpSpPr>
      <xdr:grpSp>
        <xdr:nvGrpSpPr>
          <xdr:cNvPr id="519" name="Agrupar 518">
            <a:extLst>
              <a:ext uri="{FF2B5EF4-FFF2-40B4-BE49-F238E27FC236}">
                <a16:creationId xmlns:a16="http://schemas.microsoft.com/office/drawing/2014/main" id="{F0F0ED43-EECA-8C19-7FFC-C8AD6EF6819E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521" name="Retângulo 520">
              <a:extLst>
                <a:ext uri="{FF2B5EF4-FFF2-40B4-BE49-F238E27FC236}">
                  <a16:creationId xmlns:a16="http://schemas.microsoft.com/office/drawing/2014/main" id="{CF046C88-3AD5-A7CB-C6A6-619F7B569B3C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22" name="CaixaDeTexto 521">
              <a:extLst>
                <a:ext uri="{FF2B5EF4-FFF2-40B4-BE49-F238E27FC236}">
                  <a16:creationId xmlns:a16="http://schemas.microsoft.com/office/drawing/2014/main" id="{041B0CA3-A996-9501-D762-B1765036CB17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520" name="Imagem 519">
            <a:extLst>
              <a:ext uri="{FF2B5EF4-FFF2-40B4-BE49-F238E27FC236}">
                <a16:creationId xmlns:a16="http://schemas.microsoft.com/office/drawing/2014/main" id="{B79E4E99-9C54-CEF8-80BC-BA89AF4108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26008</xdr:colOff>
      <xdr:row>30</xdr:row>
      <xdr:rowOff>0</xdr:rowOff>
    </xdr:from>
    <xdr:to>
      <xdr:col>27</xdr:col>
      <xdr:colOff>457555</xdr:colOff>
      <xdr:row>31</xdr:row>
      <xdr:rowOff>350</xdr:rowOff>
    </xdr:to>
    <xdr:grpSp>
      <xdr:nvGrpSpPr>
        <xdr:cNvPr id="523" name="Agrupar 522">
          <a:extLst>
            <a:ext uri="{FF2B5EF4-FFF2-40B4-BE49-F238E27FC236}">
              <a16:creationId xmlns:a16="http://schemas.microsoft.com/office/drawing/2014/main" id="{1A76B65A-C7C1-4938-9DC5-54ADA0F8507E}"/>
            </a:ext>
          </a:extLst>
        </xdr:cNvPr>
        <xdr:cNvGrpSpPr/>
      </xdr:nvGrpSpPr>
      <xdr:grpSpPr>
        <a:xfrm>
          <a:off x="15785553" y="11533909"/>
          <a:ext cx="1037684" cy="866259"/>
          <a:chOff x="7623418" y="2467632"/>
          <a:chExt cx="1034665" cy="863203"/>
        </a:xfrm>
      </xdr:grpSpPr>
      <xdr:grpSp>
        <xdr:nvGrpSpPr>
          <xdr:cNvPr id="524" name="Agrupar 523">
            <a:extLst>
              <a:ext uri="{FF2B5EF4-FFF2-40B4-BE49-F238E27FC236}">
                <a16:creationId xmlns:a16="http://schemas.microsoft.com/office/drawing/2014/main" id="{17E02546-29C3-838D-541C-DBCCB420B664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526" name="Retângulo 525">
              <a:extLst>
                <a:ext uri="{FF2B5EF4-FFF2-40B4-BE49-F238E27FC236}">
                  <a16:creationId xmlns:a16="http://schemas.microsoft.com/office/drawing/2014/main" id="{FF25472B-4BF4-85F9-EA58-D9D228CB83E1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27" name="CaixaDeTexto 526">
              <a:extLst>
                <a:ext uri="{FF2B5EF4-FFF2-40B4-BE49-F238E27FC236}">
                  <a16:creationId xmlns:a16="http://schemas.microsoft.com/office/drawing/2014/main" id="{2305C805-2998-D0A1-37AA-E8CFFE19EEB9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525" name="Imagem 524">
            <a:extLst>
              <a:ext uri="{FF2B5EF4-FFF2-40B4-BE49-F238E27FC236}">
                <a16:creationId xmlns:a16="http://schemas.microsoft.com/office/drawing/2014/main" id="{BBD9464A-8855-08D5-062E-19D7B32939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386395</xdr:colOff>
      <xdr:row>30</xdr:row>
      <xdr:rowOff>11028</xdr:rowOff>
    </xdr:from>
    <xdr:to>
      <xdr:col>29</xdr:col>
      <xdr:colOff>311782</xdr:colOff>
      <xdr:row>31</xdr:row>
      <xdr:rowOff>4449</xdr:rowOff>
    </xdr:to>
    <xdr:grpSp>
      <xdr:nvGrpSpPr>
        <xdr:cNvPr id="528" name="Agrupar 527">
          <a:extLst>
            <a:ext uri="{FF2B5EF4-FFF2-40B4-BE49-F238E27FC236}">
              <a16:creationId xmlns:a16="http://schemas.microsoft.com/office/drawing/2014/main" id="{3B2FF818-B8CA-4136-92B4-8343D3E46AF7}"/>
            </a:ext>
          </a:extLst>
        </xdr:cNvPr>
        <xdr:cNvGrpSpPr/>
      </xdr:nvGrpSpPr>
      <xdr:grpSpPr>
        <a:xfrm>
          <a:off x="16752077" y="11544937"/>
          <a:ext cx="1137660" cy="859330"/>
          <a:chOff x="7441106" y="2890839"/>
          <a:chExt cx="1139825" cy="839477"/>
        </a:xfrm>
      </xdr:grpSpPr>
      <xdr:grpSp>
        <xdr:nvGrpSpPr>
          <xdr:cNvPr id="529" name="Agrupar 528">
            <a:extLst>
              <a:ext uri="{FF2B5EF4-FFF2-40B4-BE49-F238E27FC236}">
                <a16:creationId xmlns:a16="http://schemas.microsoft.com/office/drawing/2014/main" id="{2FA4E1B4-581E-C006-B8E0-9C10B238B663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531" name="Retângulo 530">
              <a:extLst>
                <a:ext uri="{FF2B5EF4-FFF2-40B4-BE49-F238E27FC236}">
                  <a16:creationId xmlns:a16="http://schemas.microsoft.com/office/drawing/2014/main" id="{8F53901E-7742-89C9-338A-4CC8980BD026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2" name="CaixaDeTexto 531">
              <a:extLst>
                <a:ext uri="{FF2B5EF4-FFF2-40B4-BE49-F238E27FC236}">
                  <a16:creationId xmlns:a16="http://schemas.microsoft.com/office/drawing/2014/main" id="{86D62248-7AEF-25BB-D30F-ED68355791FF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530" name="Imagem 529">
            <a:extLst>
              <a:ext uri="{FF2B5EF4-FFF2-40B4-BE49-F238E27FC236}">
                <a16:creationId xmlns:a16="http://schemas.microsoft.com/office/drawing/2014/main" id="{36FD951A-B16F-94EC-4647-DE6E851CE8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10</xdr:col>
      <xdr:colOff>431245</xdr:colOff>
      <xdr:row>31</xdr:row>
      <xdr:rowOff>9720</xdr:rowOff>
    </xdr:from>
    <xdr:ext cx="6170985" cy="483722"/>
    <xdr:sp macro="" textlink="">
      <xdr:nvSpPr>
        <xdr:cNvPr id="533" name="CaixaDeTexto 532">
          <a:extLst>
            <a:ext uri="{FF2B5EF4-FFF2-40B4-BE49-F238E27FC236}">
              <a16:creationId xmlns:a16="http://schemas.microsoft.com/office/drawing/2014/main" id="{A72C6280-C0B7-45D7-A2FD-755DB742B729}"/>
            </a:ext>
          </a:extLst>
        </xdr:cNvPr>
        <xdr:cNvSpPr txBox="1"/>
      </xdr:nvSpPr>
      <xdr:spPr>
        <a:xfrm>
          <a:off x="6622495" y="12296970"/>
          <a:ext cx="6170985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Matriz Z Barra de Sequência Positiva e Negativa</a:t>
          </a:r>
        </a:p>
      </xdr:txBody>
    </xdr:sp>
    <xdr:clientData/>
  </xdr:oneCellAnchor>
  <xdr:twoCellAnchor>
    <xdr:from>
      <xdr:col>21</xdr:col>
      <xdr:colOff>228192</xdr:colOff>
      <xdr:row>29</xdr:row>
      <xdr:rowOff>187443</xdr:rowOff>
    </xdr:from>
    <xdr:to>
      <xdr:col>23</xdr:col>
      <xdr:colOff>41298</xdr:colOff>
      <xdr:row>31</xdr:row>
      <xdr:rowOff>2641</xdr:rowOff>
    </xdr:to>
    <xdr:grpSp>
      <xdr:nvGrpSpPr>
        <xdr:cNvPr id="539" name="Agrupar 538">
          <a:extLst>
            <a:ext uri="{FF2B5EF4-FFF2-40B4-BE49-F238E27FC236}">
              <a16:creationId xmlns:a16="http://schemas.microsoft.com/office/drawing/2014/main" id="{A4C9B223-3442-460E-9C19-2F2A3022CD6E}"/>
            </a:ext>
          </a:extLst>
        </xdr:cNvPr>
        <xdr:cNvGrpSpPr/>
      </xdr:nvGrpSpPr>
      <xdr:grpSpPr>
        <a:xfrm>
          <a:off x="12957056" y="11530852"/>
          <a:ext cx="1025378" cy="871607"/>
          <a:chOff x="10744060" y="2050831"/>
          <a:chExt cx="1032640" cy="863203"/>
        </a:xfrm>
      </xdr:grpSpPr>
      <xdr:grpSp>
        <xdr:nvGrpSpPr>
          <xdr:cNvPr id="540" name="Agrupar 539">
            <a:extLst>
              <a:ext uri="{FF2B5EF4-FFF2-40B4-BE49-F238E27FC236}">
                <a16:creationId xmlns:a16="http://schemas.microsoft.com/office/drawing/2014/main" id="{4053A06E-FA51-153C-091E-6EB6425F9334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542" name="Retângulo 541">
              <a:extLst>
                <a:ext uri="{FF2B5EF4-FFF2-40B4-BE49-F238E27FC236}">
                  <a16:creationId xmlns:a16="http://schemas.microsoft.com/office/drawing/2014/main" id="{04A593EB-A6BF-C142-EE84-AE9AD5F47B3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3" name="CaixaDeTexto 542">
              <a:extLst>
                <a:ext uri="{FF2B5EF4-FFF2-40B4-BE49-F238E27FC236}">
                  <a16:creationId xmlns:a16="http://schemas.microsoft.com/office/drawing/2014/main" id="{11DF66EB-9730-21B2-DB8B-6D2B1F413D4A}"/>
                </a:ext>
              </a:extLst>
            </xdr:cNvPr>
            <xdr:cNvSpPr txBox="1"/>
          </xdr:nvSpPr>
          <xdr:spPr>
            <a:xfrm>
              <a:off x="7532260" y="528204"/>
              <a:ext cx="983705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(+) (-)</a:t>
              </a:r>
            </a:p>
          </xdr:txBody>
        </xdr:sp>
      </xdr:grpSp>
      <xdr:pic>
        <xdr:nvPicPr>
          <xdr:cNvPr id="541" name="Imagem 540">
            <a:extLst>
              <a:ext uri="{FF2B5EF4-FFF2-40B4-BE49-F238E27FC236}">
                <a16:creationId xmlns:a16="http://schemas.microsoft.com/office/drawing/2014/main" id="{01E7F0BA-6AC8-9504-6AC0-2B8C3310B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35</xdr:row>
      <xdr:rowOff>0</xdr:rowOff>
    </xdr:from>
    <xdr:to>
      <xdr:col>4</xdr:col>
      <xdr:colOff>129210</xdr:colOff>
      <xdr:row>35</xdr:row>
      <xdr:rowOff>861390</xdr:rowOff>
    </xdr:to>
    <xdr:sp macro="" textlink="">
      <xdr:nvSpPr>
        <xdr:cNvPr id="544" name="Retângulo 543">
          <a:extLst>
            <a:ext uri="{FF2B5EF4-FFF2-40B4-BE49-F238E27FC236}">
              <a16:creationId xmlns:a16="http://schemas.microsoft.com/office/drawing/2014/main" id="{011118D8-C42C-4154-89F5-609A8DBD274D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35</xdr:row>
      <xdr:rowOff>44868</xdr:rowOff>
    </xdr:from>
    <xdr:to>
      <xdr:col>1</xdr:col>
      <xdr:colOff>198951</xdr:colOff>
      <xdr:row>35</xdr:row>
      <xdr:rowOff>744273</xdr:rowOff>
    </xdr:to>
    <xdr:sp macro="" textlink="">
      <xdr:nvSpPr>
        <xdr:cNvPr id="545" name="Raio 544">
          <a:extLst>
            <a:ext uri="{FF2B5EF4-FFF2-40B4-BE49-F238E27FC236}">
              <a16:creationId xmlns:a16="http://schemas.microsoft.com/office/drawing/2014/main" id="{B78E6C76-A9BB-44FD-A0B7-3C6E0FC27AF8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35</xdr:row>
      <xdr:rowOff>88624</xdr:rowOff>
    </xdr:from>
    <xdr:ext cx="5325718" cy="593239"/>
    <xdr:sp macro="" textlink="">
      <xdr:nvSpPr>
        <xdr:cNvPr id="546" name="CaixaDeTexto 545">
          <a:extLst>
            <a:ext uri="{FF2B5EF4-FFF2-40B4-BE49-F238E27FC236}">
              <a16:creationId xmlns:a16="http://schemas.microsoft.com/office/drawing/2014/main" id="{B41F5324-C368-4193-BA85-100CBAA15D9E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11</xdr:col>
      <xdr:colOff>281632</xdr:colOff>
      <xdr:row>35</xdr:row>
      <xdr:rowOff>0</xdr:rowOff>
    </xdr:from>
    <xdr:to>
      <xdr:col>13</xdr:col>
      <xdr:colOff>156332</xdr:colOff>
      <xdr:row>36</xdr:row>
      <xdr:rowOff>350</xdr:rowOff>
    </xdr:to>
    <xdr:grpSp>
      <xdr:nvGrpSpPr>
        <xdr:cNvPr id="547" name="Agrupar 546">
          <a:extLst>
            <a:ext uri="{FF2B5EF4-FFF2-40B4-BE49-F238E27FC236}">
              <a16:creationId xmlns:a16="http://schemas.microsoft.com/office/drawing/2014/main" id="{A9B39AB0-14C6-4431-91A2-BEC6736AFDB4}"/>
            </a:ext>
          </a:extLst>
        </xdr:cNvPr>
        <xdr:cNvGrpSpPr/>
      </xdr:nvGrpSpPr>
      <xdr:grpSpPr>
        <a:xfrm>
          <a:off x="6949132" y="13456227"/>
          <a:ext cx="1086973" cy="866259"/>
          <a:chOff x="7411601" y="0"/>
          <a:chExt cx="1097234" cy="870672"/>
        </a:xfrm>
      </xdr:grpSpPr>
      <xdr:sp macro="" textlink="">
        <xdr:nvSpPr>
          <xdr:cNvPr id="548" name="Retângulo 547">
            <a:extLst>
              <a:ext uri="{FF2B5EF4-FFF2-40B4-BE49-F238E27FC236}">
                <a16:creationId xmlns:a16="http://schemas.microsoft.com/office/drawing/2014/main" id="{298BDAAF-8D95-3B3D-164F-028D7A8E19EB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49" name="Imagem 548">
            <a:extLst>
              <a:ext uri="{FF2B5EF4-FFF2-40B4-BE49-F238E27FC236}">
                <a16:creationId xmlns:a16="http://schemas.microsoft.com/office/drawing/2014/main" id="{FB569D92-2901-044E-017D-1D2421E5C4E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550" name="CaixaDeTexto 549">
            <a:extLst>
              <a:ext uri="{FF2B5EF4-FFF2-40B4-BE49-F238E27FC236}">
                <a16:creationId xmlns:a16="http://schemas.microsoft.com/office/drawing/2014/main" id="{A9F440CB-5257-13D5-2DCD-674F72F70D8D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13</xdr:col>
      <xdr:colOff>85172</xdr:colOff>
      <xdr:row>35</xdr:row>
      <xdr:rowOff>0</xdr:rowOff>
    </xdr:from>
    <xdr:to>
      <xdr:col>15</xdr:col>
      <xdr:colOff>94899</xdr:colOff>
      <xdr:row>36</xdr:row>
      <xdr:rowOff>350</xdr:rowOff>
    </xdr:to>
    <xdr:grpSp>
      <xdr:nvGrpSpPr>
        <xdr:cNvPr id="551" name="Agrupar 550">
          <a:extLst>
            <a:ext uri="{FF2B5EF4-FFF2-40B4-BE49-F238E27FC236}">
              <a16:creationId xmlns:a16="http://schemas.microsoft.com/office/drawing/2014/main" id="{4E74C686-A9A8-4B7C-A600-10CDD9663EF0}"/>
            </a:ext>
          </a:extLst>
        </xdr:cNvPr>
        <xdr:cNvGrpSpPr/>
      </xdr:nvGrpSpPr>
      <xdr:grpSpPr>
        <a:xfrm>
          <a:off x="7964945" y="13456227"/>
          <a:ext cx="1221999" cy="866259"/>
          <a:chOff x="10965361" y="1520405"/>
          <a:chExt cx="1231803" cy="863203"/>
        </a:xfrm>
      </xdr:grpSpPr>
      <xdr:grpSp>
        <xdr:nvGrpSpPr>
          <xdr:cNvPr id="552" name="Agrupar 551">
            <a:extLst>
              <a:ext uri="{FF2B5EF4-FFF2-40B4-BE49-F238E27FC236}">
                <a16:creationId xmlns:a16="http://schemas.microsoft.com/office/drawing/2014/main" id="{1ACB9D3E-16CF-C007-5537-E2AD44E17EFF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554" name="Retângulo 553">
              <a:extLst>
                <a:ext uri="{FF2B5EF4-FFF2-40B4-BE49-F238E27FC236}">
                  <a16:creationId xmlns:a16="http://schemas.microsoft.com/office/drawing/2014/main" id="{A13130FD-5762-403A-B6A2-4935BABEF783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55" name="CaixaDeTexto 554">
              <a:extLst>
                <a:ext uri="{FF2B5EF4-FFF2-40B4-BE49-F238E27FC236}">
                  <a16:creationId xmlns:a16="http://schemas.microsoft.com/office/drawing/2014/main" id="{CE1DD5A4-42D1-17F7-924F-44B369247FD6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553" name="Imagem 552">
            <a:extLst>
              <a:ext uri="{FF2B5EF4-FFF2-40B4-BE49-F238E27FC236}">
                <a16:creationId xmlns:a16="http://schemas.microsoft.com/office/drawing/2014/main" id="{A7984B4F-D1EF-19F6-3200-16AADE5BC31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35</xdr:row>
      <xdr:rowOff>0</xdr:rowOff>
    </xdr:from>
    <xdr:to>
      <xdr:col>16</xdr:col>
      <xdr:colOff>444153</xdr:colOff>
      <xdr:row>36</xdr:row>
      <xdr:rowOff>350</xdr:rowOff>
    </xdr:to>
    <xdr:grpSp>
      <xdr:nvGrpSpPr>
        <xdr:cNvPr id="556" name="Agrupar 555">
          <a:extLst>
            <a:ext uri="{FF2B5EF4-FFF2-40B4-BE49-F238E27FC236}">
              <a16:creationId xmlns:a16="http://schemas.microsoft.com/office/drawing/2014/main" id="{DF3287BE-7E99-496D-BCA6-11886496B82B}"/>
            </a:ext>
          </a:extLst>
        </xdr:cNvPr>
        <xdr:cNvGrpSpPr/>
      </xdr:nvGrpSpPr>
      <xdr:grpSpPr>
        <a:xfrm>
          <a:off x="9115784" y="13456227"/>
          <a:ext cx="1026551" cy="866259"/>
          <a:chOff x="10249990" y="1546698"/>
          <a:chExt cx="1026770" cy="863203"/>
        </a:xfrm>
      </xdr:grpSpPr>
      <xdr:grpSp>
        <xdr:nvGrpSpPr>
          <xdr:cNvPr id="557" name="Agrupar 556">
            <a:extLst>
              <a:ext uri="{FF2B5EF4-FFF2-40B4-BE49-F238E27FC236}">
                <a16:creationId xmlns:a16="http://schemas.microsoft.com/office/drawing/2014/main" id="{F4E565FD-9B79-0F64-D1A5-9156F248E2F0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559" name="Retângulo 558">
              <a:extLst>
                <a:ext uri="{FF2B5EF4-FFF2-40B4-BE49-F238E27FC236}">
                  <a16:creationId xmlns:a16="http://schemas.microsoft.com/office/drawing/2014/main" id="{986893F4-F97F-1692-630C-C0EBFE54BF0F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0" name="CaixaDeTexto 559">
              <a:extLst>
                <a:ext uri="{FF2B5EF4-FFF2-40B4-BE49-F238E27FC236}">
                  <a16:creationId xmlns:a16="http://schemas.microsoft.com/office/drawing/2014/main" id="{8686FD93-B2B7-B8E5-683C-6E52D31E5D91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558" name="Imagem 557">
            <a:extLst>
              <a:ext uri="{FF2B5EF4-FFF2-40B4-BE49-F238E27FC236}">
                <a16:creationId xmlns:a16="http://schemas.microsoft.com/office/drawing/2014/main" id="{466B1429-4E5D-6F0A-F93A-386B3B9D0B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372993</xdr:colOff>
      <xdr:row>35</xdr:row>
      <xdr:rowOff>0</xdr:rowOff>
    </xdr:from>
    <xdr:to>
      <xdr:col>18</xdr:col>
      <xdr:colOff>185652</xdr:colOff>
      <xdr:row>36</xdr:row>
      <xdr:rowOff>350</xdr:rowOff>
    </xdr:to>
    <xdr:grpSp>
      <xdr:nvGrpSpPr>
        <xdr:cNvPr id="561" name="Agrupar 560">
          <a:extLst>
            <a:ext uri="{FF2B5EF4-FFF2-40B4-BE49-F238E27FC236}">
              <a16:creationId xmlns:a16="http://schemas.microsoft.com/office/drawing/2014/main" id="{6071CE06-DEB1-408A-A7E8-5D19818BE4DA}"/>
            </a:ext>
          </a:extLst>
        </xdr:cNvPr>
        <xdr:cNvGrpSpPr/>
      </xdr:nvGrpSpPr>
      <xdr:grpSpPr>
        <a:xfrm>
          <a:off x="10071175" y="13456227"/>
          <a:ext cx="1024932" cy="866259"/>
          <a:chOff x="9899139" y="1970356"/>
          <a:chExt cx="1028548" cy="863203"/>
        </a:xfrm>
      </xdr:grpSpPr>
      <xdr:grpSp>
        <xdr:nvGrpSpPr>
          <xdr:cNvPr id="562" name="Agrupar 561">
            <a:extLst>
              <a:ext uri="{FF2B5EF4-FFF2-40B4-BE49-F238E27FC236}">
                <a16:creationId xmlns:a16="http://schemas.microsoft.com/office/drawing/2014/main" id="{60009851-1DCE-1388-FDF2-B2D1DC6468FD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564" name="Retângulo 563">
              <a:extLst>
                <a:ext uri="{FF2B5EF4-FFF2-40B4-BE49-F238E27FC236}">
                  <a16:creationId xmlns:a16="http://schemas.microsoft.com/office/drawing/2014/main" id="{FAB91C1F-0C17-E20E-5939-4C839AC5D00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5" name="CaixaDeTexto 564">
              <a:extLst>
                <a:ext uri="{FF2B5EF4-FFF2-40B4-BE49-F238E27FC236}">
                  <a16:creationId xmlns:a16="http://schemas.microsoft.com/office/drawing/2014/main" id="{B6B92CA6-820F-EAB9-7F98-49B618529CF6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563" name="Imagem 562">
            <a:extLst>
              <a:ext uri="{FF2B5EF4-FFF2-40B4-BE49-F238E27FC236}">
                <a16:creationId xmlns:a16="http://schemas.microsoft.com/office/drawing/2014/main" id="{1FC64E86-ADDA-C2D8-6DE1-125C8927F3E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35</xdr:row>
      <xdr:rowOff>0</xdr:rowOff>
    </xdr:from>
    <xdr:to>
      <xdr:col>19</xdr:col>
      <xdr:colOff>535440</xdr:colOff>
      <xdr:row>36</xdr:row>
      <xdr:rowOff>350</xdr:rowOff>
    </xdr:to>
    <xdr:grpSp>
      <xdr:nvGrpSpPr>
        <xdr:cNvPr id="566" name="Agrupar 565">
          <a:extLst>
            <a:ext uri="{FF2B5EF4-FFF2-40B4-BE49-F238E27FC236}">
              <a16:creationId xmlns:a16="http://schemas.microsoft.com/office/drawing/2014/main" id="{864EC83A-8B50-4C5F-A6FC-A9F723215A92}"/>
            </a:ext>
          </a:extLst>
        </xdr:cNvPr>
        <xdr:cNvGrpSpPr/>
      </xdr:nvGrpSpPr>
      <xdr:grpSpPr>
        <a:xfrm>
          <a:off x="11024947" y="13456227"/>
          <a:ext cx="1027084" cy="866259"/>
          <a:chOff x="10613252" y="3484008"/>
          <a:chExt cx="1034639" cy="863203"/>
        </a:xfrm>
      </xdr:grpSpPr>
      <xdr:grpSp>
        <xdr:nvGrpSpPr>
          <xdr:cNvPr id="567" name="Agrupar 566">
            <a:extLst>
              <a:ext uri="{FF2B5EF4-FFF2-40B4-BE49-F238E27FC236}">
                <a16:creationId xmlns:a16="http://schemas.microsoft.com/office/drawing/2014/main" id="{FB5492CD-C923-E5F1-9BC3-312672F1369B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569" name="Retângulo 568">
              <a:extLst>
                <a:ext uri="{FF2B5EF4-FFF2-40B4-BE49-F238E27FC236}">
                  <a16:creationId xmlns:a16="http://schemas.microsoft.com/office/drawing/2014/main" id="{AAC1F50F-1FFD-7CBE-D962-5D422EFFB58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70" name="CaixaDeTexto 569">
              <a:extLst>
                <a:ext uri="{FF2B5EF4-FFF2-40B4-BE49-F238E27FC236}">
                  <a16:creationId xmlns:a16="http://schemas.microsoft.com/office/drawing/2014/main" id="{5ED11525-F164-CF10-4DCC-0C64AA81B1D8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568" name="Imagem 567">
            <a:extLst>
              <a:ext uri="{FF2B5EF4-FFF2-40B4-BE49-F238E27FC236}">
                <a16:creationId xmlns:a16="http://schemas.microsoft.com/office/drawing/2014/main" id="{34E0FC7B-40F8-57DE-7AF0-3FE72528F21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464280</xdr:colOff>
      <xdr:row>35</xdr:row>
      <xdr:rowOff>0</xdr:rowOff>
    </xdr:from>
    <xdr:to>
      <xdr:col>21</xdr:col>
      <xdr:colOff>278405</xdr:colOff>
      <xdr:row>36</xdr:row>
      <xdr:rowOff>350</xdr:rowOff>
    </xdr:to>
    <xdr:grpSp>
      <xdr:nvGrpSpPr>
        <xdr:cNvPr id="571" name="Agrupar 570">
          <a:extLst>
            <a:ext uri="{FF2B5EF4-FFF2-40B4-BE49-F238E27FC236}">
              <a16:creationId xmlns:a16="http://schemas.microsoft.com/office/drawing/2014/main" id="{CFB77373-82C8-416E-BC35-49C544117C2F}"/>
            </a:ext>
          </a:extLst>
        </xdr:cNvPr>
        <xdr:cNvGrpSpPr/>
      </xdr:nvGrpSpPr>
      <xdr:grpSpPr>
        <a:xfrm>
          <a:off x="11980871" y="13456227"/>
          <a:ext cx="1026398" cy="866259"/>
          <a:chOff x="10744060" y="2050831"/>
          <a:chExt cx="1032640" cy="863203"/>
        </a:xfrm>
      </xdr:grpSpPr>
      <xdr:grpSp>
        <xdr:nvGrpSpPr>
          <xdr:cNvPr id="572" name="Agrupar 571">
            <a:extLst>
              <a:ext uri="{FF2B5EF4-FFF2-40B4-BE49-F238E27FC236}">
                <a16:creationId xmlns:a16="http://schemas.microsoft.com/office/drawing/2014/main" id="{54B3E04E-7F9A-AE32-ADF8-AC051B8B57AC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574" name="Retângulo 573">
              <a:extLst>
                <a:ext uri="{FF2B5EF4-FFF2-40B4-BE49-F238E27FC236}">
                  <a16:creationId xmlns:a16="http://schemas.microsoft.com/office/drawing/2014/main" id="{93C83047-40FD-160D-DC69-DA7C989C679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75" name="CaixaDeTexto 574">
              <a:extLst>
                <a:ext uri="{FF2B5EF4-FFF2-40B4-BE49-F238E27FC236}">
                  <a16:creationId xmlns:a16="http://schemas.microsoft.com/office/drawing/2014/main" id="{893268B4-2449-5B33-1443-0F7AA760BC55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573" name="Imagem 572">
            <a:extLst>
              <a:ext uri="{FF2B5EF4-FFF2-40B4-BE49-F238E27FC236}">
                <a16:creationId xmlns:a16="http://schemas.microsoft.com/office/drawing/2014/main" id="{AC36EA22-D295-2ED3-71D9-51D0264ABF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286356</xdr:colOff>
      <xdr:row>35</xdr:row>
      <xdr:rowOff>0</xdr:rowOff>
    </xdr:from>
    <xdr:to>
      <xdr:col>26</xdr:col>
      <xdr:colOff>97168</xdr:colOff>
      <xdr:row>36</xdr:row>
      <xdr:rowOff>350</xdr:rowOff>
    </xdr:to>
    <xdr:grpSp>
      <xdr:nvGrpSpPr>
        <xdr:cNvPr id="581" name="Agrupar 580">
          <a:extLst>
            <a:ext uri="{FF2B5EF4-FFF2-40B4-BE49-F238E27FC236}">
              <a16:creationId xmlns:a16="http://schemas.microsoft.com/office/drawing/2014/main" id="{B46602AE-71B1-4052-B029-1249631C90DB}"/>
            </a:ext>
          </a:extLst>
        </xdr:cNvPr>
        <xdr:cNvGrpSpPr/>
      </xdr:nvGrpSpPr>
      <xdr:grpSpPr>
        <a:xfrm>
          <a:off x="14833629" y="13456227"/>
          <a:ext cx="1023084" cy="866259"/>
          <a:chOff x="10666547" y="1933904"/>
          <a:chExt cx="1032640" cy="863203"/>
        </a:xfrm>
      </xdr:grpSpPr>
      <xdr:grpSp>
        <xdr:nvGrpSpPr>
          <xdr:cNvPr id="582" name="Agrupar 581">
            <a:extLst>
              <a:ext uri="{FF2B5EF4-FFF2-40B4-BE49-F238E27FC236}">
                <a16:creationId xmlns:a16="http://schemas.microsoft.com/office/drawing/2014/main" id="{3C9EC6B3-A17F-91BB-C449-78B37BCE3351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584" name="Retângulo 583">
              <a:extLst>
                <a:ext uri="{FF2B5EF4-FFF2-40B4-BE49-F238E27FC236}">
                  <a16:creationId xmlns:a16="http://schemas.microsoft.com/office/drawing/2014/main" id="{0C8C3A14-8EEB-C6CA-4719-0D2386B43A2C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5" name="CaixaDeTexto 584">
              <a:extLst>
                <a:ext uri="{FF2B5EF4-FFF2-40B4-BE49-F238E27FC236}">
                  <a16:creationId xmlns:a16="http://schemas.microsoft.com/office/drawing/2014/main" id="{7EB8DFD3-DE12-5ACD-55BE-753DC99E0E31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583" name="Imagem 582">
            <a:extLst>
              <a:ext uri="{FF2B5EF4-FFF2-40B4-BE49-F238E27FC236}">
                <a16:creationId xmlns:a16="http://schemas.microsoft.com/office/drawing/2014/main" id="{CB77F919-8C5E-7EB9-CC2D-3D5E95967E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207245</xdr:colOff>
      <xdr:row>35</xdr:row>
      <xdr:rowOff>0</xdr:rowOff>
    </xdr:from>
    <xdr:to>
      <xdr:col>23</xdr:col>
      <xdr:colOff>16059</xdr:colOff>
      <xdr:row>36</xdr:row>
      <xdr:rowOff>350</xdr:rowOff>
    </xdr:to>
    <xdr:grpSp>
      <xdr:nvGrpSpPr>
        <xdr:cNvPr id="586" name="Agrupar 585">
          <a:extLst>
            <a:ext uri="{FF2B5EF4-FFF2-40B4-BE49-F238E27FC236}">
              <a16:creationId xmlns:a16="http://schemas.microsoft.com/office/drawing/2014/main" id="{38AF0FD0-39AC-4D9B-B8C6-E4930A0E03FB}"/>
            </a:ext>
          </a:extLst>
        </xdr:cNvPr>
        <xdr:cNvGrpSpPr/>
      </xdr:nvGrpSpPr>
      <xdr:grpSpPr>
        <a:xfrm>
          <a:off x="12936109" y="13456227"/>
          <a:ext cx="1021086" cy="866259"/>
          <a:chOff x="10744060" y="2050831"/>
          <a:chExt cx="1032640" cy="863203"/>
        </a:xfrm>
      </xdr:grpSpPr>
      <xdr:grpSp>
        <xdr:nvGrpSpPr>
          <xdr:cNvPr id="587" name="Agrupar 586">
            <a:extLst>
              <a:ext uri="{FF2B5EF4-FFF2-40B4-BE49-F238E27FC236}">
                <a16:creationId xmlns:a16="http://schemas.microsoft.com/office/drawing/2014/main" id="{0C944555-F105-4218-36A9-7539ADDCCDF2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589" name="Retângulo 588">
              <a:extLst>
                <a:ext uri="{FF2B5EF4-FFF2-40B4-BE49-F238E27FC236}">
                  <a16:creationId xmlns:a16="http://schemas.microsoft.com/office/drawing/2014/main" id="{30B710A2-34F6-0393-FCA0-DCA7627C393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0" name="CaixaDeTexto 589">
              <a:extLst>
                <a:ext uri="{FF2B5EF4-FFF2-40B4-BE49-F238E27FC236}">
                  <a16:creationId xmlns:a16="http://schemas.microsoft.com/office/drawing/2014/main" id="{5C83AFD7-E353-9175-4FAB-BCF3E44A7A00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588" name="Imagem 587">
            <a:extLst>
              <a:ext uri="{FF2B5EF4-FFF2-40B4-BE49-F238E27FC236}">
                <a16:creationId xmlns:a16="http://schemas.microsoft.com/office/drawing/2014/main" id="{89C0E00B-72E1-D002-2BD2-0046BA779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35</xdr:row>
      <xdr:rowOff>0</xdr:rowOff>
    </xdr:from>
    <xdr:to>
      <xdr:col>11</xdr:col>
      <xdr:colOff>352792</xdr:colOff>
      <xdr:row>36</xdr:row>
      <xdr:rowOff>350</xdr:rowOff>
    </xdr:to>
    <xdr:grpSp>
      <xdr:nvGrpSpPr>
        <xdr:cNvPr id="591" name="Agrupar 590">
          <a:extLst>
            <a:ext uri="{FF2B5EF4-FFF2-40B4-BE49-F238E27FC236}">
              <a16:creationId xmlns:a16="http://schemas.microsoft.com/office/drawing/2014/main" id="{EB60AA53-29FA-4C08-A4F0-85375A45AC66}"/>
            </a:ext>
          </a:extLst>
        </xdr:cNvPr>
        <xdr:cNvGrpSpPr/>
      </xdr:nvGrpSpPr>
      <xdr:grpSpPr>
        <a:xfrm>
          <a:off x="5945988" y="13456227"/>
          <a:ext cx="1074304" cy="866259"/>
          <a:chOff x="8052741" y="2471157"/>
          <a:chExt cx="1082687" cy="863203"/>
        </a:xfrm>
      </xdr:grpSpPr>
      <xdr:grpSp>
        <xdr:nvGrpSpPr>
          <xdr:cNvPr id="592" name="Agrupar 591">
            <a:extLst>
              <a:ext uri="{FF2B5EF4-FFF2-40B4-BE49-F238E27FC236}">
                <a16:creationId xmlns:a16="http://schemas.microsoft.com/office/drawing/2014/main" id="{AD0A4FD0-249A-00C5-537E-521F25838A14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594" name="Retângulo 593">
              <a:extLst>
                <a:ext uri="{FF2B5EF4-FFF2-40B4-BE49-F238E27FC236}">
                  <a16:creationId xmlns:a16="http://schemas.microsoft.com/office/drawing/2014/main" id="{25E51971-4965-82D6-890B-EE7D9873144A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5" name="CaixaDeTexto 594">
              <a:extLst>
                <a:ext uri="{FF2B5EF4-FFF2-40B4-BE49-F238E27FC236}">
                  <a16:creationId xmlns:a16="http://schemas.microsoft.com/office/drawing/2014/main" id="{44F0FE45-588D-FB48-DA21-2761094991DE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593" name="Imagem 592">
            <a:extLst>
              <a:ext uri="{FF2B5EF4-FFF2-40B4-BE49-F238E27FC236}">
                <a16:creationId xmlns:a16="http://schemas.microsoft.com/office/drawing/2014/main" id="{789F61B2-2A2E-88CB-DC7F-300C4A33AD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26008</xdr:colOff>
      <xdr:row>35</xdr:row>
      <xdr:rowOff>0</xdr:rowOff>
    </xdr:from>
    <xdr:to>
      <xdr:col>27</xdr:col>
      <xdr:colOff>457555</xdr:colOff>
      <xdr:row>36</xdr:row>
      <xdr:rowOff>350</xdr:rowOff>
    </xdr:to>
    <xdr:grpSp>
      <xdr:nvGrpSpPr>
        <xdr:cNvPr id="596" name="Agrupar 595">
          <a:extLst>
            <a:ext uri="{FF2B5EF4-FFF2-40B4-BE49-F238E27FC236}">
              <a16:creationId xmlns:a16="http://schemas.microsoft.com/office/drawing/2014/main" id="{1167A360-0403-451D-BD2D-CB02C2879D10}"/>
            </a:ext>
          </a:extLst>
        </xdr:cNvPr>
        <xdr:cNvGrpSpPr/>
      </xdr:nvGrpSpPr>
      <xdr:grpSpPr>
        <a:xfrm>
          <a:off x="15785553" y="13456227"/>
          <a:ext cx="1037684" cy="866259"/>
          <a:chOff x="7623418" y="2467632"/>
          <a:chExt cx="1034665" cy="863203"/>
        </a:xfrm>
      </xdr:grpSpPr>
      <xdr:grpSp>
        <xdr:nvGrpSpPr>
          <xdr:cNvPr id="597" name="Agrupar 596">
            <a:extLst>
              <a:ext uri="{FF2B5EF4-FFF2-40B4-BE49-F238E27FC236}">
                <a16:creationId xmlns:a16="http://schemas.microsoft.com/office/drawing/2014/main" id="{45EF9115-80A3-0A25-7307-DC6129CD2AFE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599" name="Retângulo 598">
              <a:extLst>
                <a:ext uri="{FF2B5EF4-FFF2-40B4-BE49-F238E27FC236}">
                  <a16:creationId xmlns:a16="http://schemas.microsoft.com/office/drawing/2014/main" id="{C17ADF42-A66D-BED7-EFC3-6BE16CA0A022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0" name="CaixaDeTexto 599">
              <a:extLst>
                <a:ext uri="{FF2B5EF4-FFF2-40B4-BE49-F238E27FC236}">
                  <a16:creationId xmlns:a16="http://schemas.microsoft.com/office/drawing/2014/main" id="{C827DD46-7903-E5F7-6CE0-143AFE0BA167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598" name="Imagem 597">
            <a:extLst>
              <a:ext uri="{FF2B5EF4-FFF2-40B4-BE49-F238E27FC236}">
                <a16:creationId xmlns:a16="http://schemas.microsoft.com/office/drawing/2014/main" id="{32761DC3-91C0-B283-7656-0A30DD9238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386395</xdr:colOff>
      <xdr:row>35</xdr:row>
      <xdr:rowOff>11028</xdr:rowOff>
    </xdr:from>
    <xdr:to>
      <xdr:col>29</xdr:col>
      <xdr:colOff>311782</xdr:colOff>
      <xdr:row>36</xdr:row>
      <xdr:rowOff>4449</xdr:rowOff>
    </xdr:to>
    <xdr:grpSp>
      <xdr:nvGrpSpPr>
        <xdr:cNvPr id="601" name="Agrupar 600">
          <a:extLst>
            <a:ext uri="{FF2B5EF4-FFF2-40B4-BE49-F238E27FC236}">
              <a16:creationId xmlns:a16="http://schemas.microsoft.com/office/drawing/2014/main" id="{67D1C930-B099-4881-9CFF-116B08F28102}"/>
            </a:ext>
          </a:extLst>
        </xdr:cNvPr>
        <xdr:cNvGrpSpPr/>
      </xdr:nvGrpSpPr>
      <xdr:grpSpPr>
        <a:xfrm>
          <a:off x="16752077" y="13467255"/>
          <a:ext cx="1137660" cy="859330"/>
          <a:chOff x="7441106" y="2890839"/>
          <a:chExt cx="1139825" cy="839477"/>
        </a:xfrm>
      </xdr:grpSpPr>
      <xdr:grpSp>
        <xdr:nvGrpSpPr>
          <xdr:cNvPr id="602" name="Agrupar 601">
            <a:extLst>
              <a:ext uri="{FF2B5EF4-FFF2-40B4-BE49-F238E27FC236}">
                <a16:creationId xmlns:a16="http://schemas.microsoft.com/office/drawing/2014/main" id="{2A15E200-A548-CE70-C8DC-826DE8EC9296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604" name="Retângulo 603">
              <a:extLst>
                <a:ext uri="{FF2B5EF4-FFF2-40B4-BE49-F238E27FC236}">
                  <a16:creationId xmlns:a16="http://schemas.microsoft.com/office/drawing/2014/main" id="{5A4AA357-7F05-5601-7298-3BFE7C5D706A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5" name="CaixaDeTexto 604">
              <a:extLst>
                <a:ext uri="{FF2B5EF4-FFF2-40B4-BE49-F238E27FC236}">
                  <a16:creationId xmlns:a16="http://schemas.microsoft.com/office/drawing/2014/main" id="{5B644C8A-6D1E-561E-055E-5E7A6CDD0051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603" name="Imagem 602">
            <a:extLst>
              <a:ext uri="{FF2B5EF4-FFF2-40B4-BE49-F238E27FC236}">
                <a16:creationId xmlns:a16="http://schemas.microsoft.com/office/drawing/2014/main" id="{B29A2395-B8FB-91B3-2A07-7A4DD6A523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12</xdr:col>
      <xdr:colOff>103405</xdr:colOff>
      <xdr:row>36</xdr:row>
      <xdr:rowOff>9720</xdr:rowOff>
    </xdr:from>
    <xdr:ext cx="4350165" cy="483722"/>
    <xdr:sp macro="" textlink="">
      <xdr:nvSpPr>
        <xdr:cNvPr id="606" name="CaixaDeTexto 605">
          <a:extLst>
            <a:ext uri="{FF2B5EF4-FFF2-40B4-BE49-F238E27FC236}">
              <a16:creationId xmlns:a16="http://schemas.microsoft.com/office/drawing/2014/main" id="{A3DFAF21-7CC5-42EB-A33B-3BBEFBF4AEB5}"/>
            </a:ext>
          </a:extLst>
        </xdr:cNvPr>
        <xdr:cNvSpPr txBox="1"/>
      </xdr:nvSpPr>
      <xdr:spPr>
        <a:xfrm>
          <a:off x="7532905" y="14201970"/>
          <a:ext cx="4350165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Matriz Y Barra de Sequência Zero</a:t>
          </a:r>
        </a:p>
      </xdr:txBody>
    </xdr:sp>
    <xdr:clientData/>
  </xdr:oneCellAnchor>
  <xdr:twoCellAnchor>
    <xdr:from>
      <xdr:col>22</xdr:col>
      <xdr:colOff>573232</xdr:colOff>
      <xdr:row>35</xdr:row>
      <xdr:rowOff>0</xdr:rowOff>
    </xdr:from>
    <xdr:to>
      <xdr:col>24</xdr:col>
      <xdr:colOff>378693</xdr:colOff>
      <xdr:row>36</xdr:row>
      <xdr:rowOff>4323</xdr:rowOff>
    </xdr:to>
    <xdr:grpSp>
      <xdr:nvGrpSpPr>
        <xdr:cNvPr id="612" name="Agrupar 611">
          <a:extLst>
            <a:ext uri="{FF2B5EF4-FFF2-40B4-BE49-F238E27FC236}">
              <a16:creationId xmlns:a16="http://schemas.microsoft.com/office/drawing/2014/main" id="{F9D6CA07-2C9D-757F-B696-95D2D1F8EFDD}"/>
            </a:ext>
          </a:extLst>
        </xdr:cNvPr>
        <xdr:cNvGrpSpPr/>
      </xdr:nvGrpSpPr>
      <xdr:grpSpPr>
        <a:xfrm>
          <a:off x="13908232" y="13456227"/>
          <a:ext cx="1017734" cy="870232"/>
          <a:chOff x="10666547" y="1903631"/>
          <a:chExt cx="1032640" cy="893477"/>
        </a:xfrm>
      </xdr:grpSpPr>
      <xdr:grpSp>
        <xdr:nvGrpSpPr>
          <xdr:cNvPr id="613" name="Agrupar 612">
            <a:extLst>
              <a:ext uri="{FF2B5EF4-FFF2-40B4-BE49-F238E27FC236}">
                <a16:creationId xmlns:a16="http://schemas.microsoft.com/office/drawing/2014/main" id="{03C3F3DF-FDD7-5517-77D4-755AADFBE630}"/>
              </a:ext>
            </a:extLst>
          </xdr:cNvPr>
          <xdr:cNvGrpSpPr/>
        </xdr:nvGrpSpPr>
        <xdr:grpSpPr>
          <a:xfrm>
            <a:off x="10666547" y="1903631"/>
            <a:ext cx="1032640" cy="893477"/>
            <a:chOff x="7510696" y="-30535"/>
            <a:chExt cx="1030879" cy="901208"/>
          </a:xfrm>
        </xdr:grpSpPr>
        <xdr:sp macro="" textlink="">
          <xdr:nvSpPr>
            <xdr:cNvPr id="615" name="Retângulo 614">
              <a:extLst>
                <a:ext uri="{FF2B5EF4-FFF2-40B4-BE49-F238E27FC236}">
                  <a16:creationId xmlns:a16="http://schemas.microsoft.com/office/drawing/2014/main" id="{5FF81C0F-468F-3052-4BF0-1CE07561999B}"/>
                </a:ext>
              </a:extLst>
            </xdr:cNvPr>
            <xdr:cNvSpPr/>
          </xdr:nvSpPr>
          <xdr:spPr>
            <a:xfrm>
              <a:off x="7510696" y="-30535"/>
              <a:ext cx="1030879" cy="90120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6" name="CaixaDeTexto 615">
              <a:extLst>
                <a:ext uri="{FF2B5EF4-FFF2-40B4-BE49-F238E27FC236}">
                  <a16:creationId xmlns:a16="http://schemas.microsoft.com/office/drawing/2014/main" id="{7917A9F4-E1D5-F436-C769-4E50901B1DDA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(0)</a:t>
              </a:r>
            </a:p>
          </xdr:txBody>
        </xdr:sp>
      </xdr:grpSp>
      <xdr:pic>
        <xdr:nvPicPr>
          <xdr:cNvPr id="614" name="Imagem 613">
            <a:extLst>
              <a:ext uri="{FF2B5EF4-FFF2-40B4-BE49-F238E27FC236}">
                <a16:creationId xmlns:a16="http://schemas.microsoft.com/office/drawing/2014/main" id="{A20F55D5-B990-C818-0963-30ADE246E3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40</xdr:row>
      <xdr:rowOff>0</xdr:rowOff>
    </xdr:from>
    <xdr:to>
      <xdr:col>4</xdr:col>
      <xdr:colOff>129210</xdr:colOff>
      <xdr:row>40</xdr:row>
      <xdr:rowOff>861390</xdr:rowOff>
    </xdr:to>
    <xdr:sp macro="" textlink="">
      <xdr:nvSpPr>
        <xdr:cNvPr id="617" name="Retângulo 616">
          <a:extLst>
            <a:ext uri="{FF2B5EF4-FFF2-40B4-BE49-F238E27FC236}">
              <a16:creationId xmlns:a16="http://schemas.microsoft.com/office/drawing/2014/main" id="{D62A9EAF-A3D4-42BC-BDD3-F86569139DA7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40</xdr:row>
      <xdr:rowOff>44868</xdr:rowOff>
    </xdr:from>
    <xdr:to>
      <xdr:col>1</xdr:col>
      <xdr:colOff>198951</xdr:colOff>
      <xdr:row>40</xdr:row>
      <xdr:rowOff>744273</xdr:rowOff>
    </xdr:to>
    <xdr:sp macro="" textlink="">
      <xdr:nvSpPr>
        <xdr:cNvPr id="618" name="Raio 617">
          <a:extLst>
            <a:ext uri="{FF2B5EF4-FFF2-40B4-BE49-F238E27FC236}">
              <a16:creationId xmlns:a16="http://schemas.microsoft.com/office/drawing/2014/main" id="{62322F2C-4FFC-4C8A-B22B-0CE5F676657D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40</xdr:row>
      <xdr:rowOff>88624</xdr:rowOff>
    </xdr:from>
    <xdr:ext cx="5325718" cy="593239"/>
    <xdr:sp macro="" textlink="">
      <xdr:nvSpPr>
        <xdr:cNvPr id="619" name="CaixaDeTexto 618">
          <a:extLst>
            <a:ext uri="{FF2B5EF4-FFF2-40B4-BE49-F238E27FC236}">
              <a16:creationId xmlns:a16="http://schemas.microsoft.com/office/drawing/2014/main" id="{0609A750-0D82-4518-82F5-3673A9A61A63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11</xdr:col>
      <xdr:colOff>281632</xdr:colOff>
      <xdr:row>40</xdr:row>
      <xdr:rowOff>0</xdr:rowOff>
    </xdr:from>
    <xdr:to>
      <xdr:col>13</xdr:col>
      <xdr:colOff>156332</xdr:colOff>
      <xdr:row>41</xdr:row>
      <xdr:rowOff>350</xdr:rowOff>
    </xdr:to>
    <xdr:grpSp>
      <xdr:nvGrpSpPr>
        <xdr:cNvPr id="620" name="Agrupar 619">
          <a:extLst>
            <a:ext uri="{FF2B5EF4-FFF2-40B4-BE49-F238E27FC236}">
              <a16:creationId xmlns:a16="http://schemas.microsoft.com/office/drawing/2014/main" id="{C75AF6E5-B60F-4DA8-B33A-8EF2CE424329}"/>
            </a:ext>
          </a:extLst>
        </xdr:cNvPr>
        <xdr:cNvGrpSpPr/>
      </xdr:nvGrpSpPr>
      <xdr:grpSpPr>
        <a:xfrm>
          <a:off x="6949132" y="15378545"/>
          <a:ext cx="1086973" cy="866260"/>
          <a:chOff x="7411601" y="0"/>
          <a:chExt cx="1097234" cy="870672"/>
        </a:xfrm>
      </xdr:grpSpPr>
      <xdr:sp macro="" textlink="">
        <xdr:nvSpPr>
          <xdr:cNvPr id="621" name="Retângulo 620">
            <a:extLst>
              <a:ext uri="{FF2B5EF4-FFF2-40B4-BE49-F238E27FC236}">
                <a16:creationId xmlns:a16="http://schemas.microsoft.com/office/drawing/2014/main" id="{3F8620CC-97A5-403F-729E-AAFD83E3B9E5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22" name="Imagem 621">
            <a:extLst>
              <a:ext uri="{FF2B5EF4-FFF2-40B4-BE49-F238E27FC236}">
                <a16:creationId xmlns:a16="http://schemas.microsoft.com/office/drawing/2014/main" id="{05520E32-874D-88A2-FAFA-9407DEF45CC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23" name="CaixaDeTexto 622">
            <a:extLst>
              <a:ext uri="{FF2B5EF4-FFF2-40B4-BE49-F238E27FC236}">
                <a16:creationId xmlns:a16="http://schemas.microsoft.com/office/drawing/2014/main" id="{700B65AE-2CE1-C871-E82E-5777F8E81E01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13</xdr:col>
      <xdr:colOff>85172</xdr:colOff>
      <xdr:row>40</xdr:row>
      <xdr:rowOff>0</xdr:rowOff>
    </xdr:from>
    <xdr:to>
      <xdr:col>15</xdr:col>
      <xdr:colOff>94899</xdr:colOff>
      <xdr:row>41</xdr:row>
      <xdr:rowOff>350</xdr:rowOff>
    </xdr:to>
    <xdr:grpSp>
      <xdr:nvGrpSpPr>
        <xdr:cNvPr id="624" name="Agrupar 623">
          <a:extLst>
            <a:ext uri="{FF2B5EF4-FFF2-40B4-BE49-F238E27FC236}">
              <a16:creationId xmlns:a16="http://schemas.microsoft.com/office/drawing/2014/main" id="{06A3346F-F7E2-4232-8B45-4568A1319752}"/>
            </a:ext>
          </a:extLst>
        </xdr:cNvPr>
        <xdr:cNvGrpSpPr/>
      </xdr:nvGrpSpPr>
      <xdr:grpSpPr>
        <a:xfrm>
          <a:off x="7964945" y="15378545"/>
          <a:ext cx="1221999" cy="866260"/>
          <a:chOff x="10965361" y="1520405"/>
          <a:chExt cx="1231803" cy="863203"/>
        </a:xfrm>
      </xdr:grpSpPr>
      <xdr:grpSp>
        <xdr:nvGrpSpPr>
          <xdr:cNvPr id="625" name="Agrupar 624">
            <a:extLst>
              <a:ext uri="{FF2B5EF4-FFF2-40B4-BE49-F238E27FC236}">
                <a16:creationId xmlns:a16="http://schemas.microsoft.com/office/drawing/2014/main" id="{07A11BDB-BCE1-5423-4A99-5DCECE1EF257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627" name="Retângulo 626">
              <a:extLst>
                <a:ext uri="{FF2B5EF4-FFF2-40B4-BE49-F238E27FC236}">
                  <a16:creationId xmlns:a16="http://schemas.microsoft.com/office/drawing/2014/main" id="{E2CBFF7C-C935-D8B2-1611-2986A908059A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8" name="CaixaDeTexto 627">
              <a:extLst>
                <a:ext uri="{FF2B5EF4-FFF2-40B4-BE49-F238E27FC236}">
                  <a16:creationId xmlns:a16="http://schemas.microsoft.com/office/drawing/2014/main" id="{8A5625CE-FCA7-3610-E370-D397DD68561D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626" name="Imagem 625">
            <a:extLst>
              <a:ext uri="{FF2B5EF4-FFF2-40B4-BE49-F238E27FC236}">
                <a16:creationId xmlns:a16="http://schemas.microsoft.com/office/drawing/2014/main" id="{EA52B33E-FE65-7150-22E3-EFF34B3F5F3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40</xdr:row>
      <xdr:rowOff>0</xdr:rowOff>
    </xdr:from>
    <xdr:to>
      <xdr:col>16</xdr:col>
      <xdr:colOff>444153</xdr:colOff>
      <xdr:row>41</xdr:row>
      <xdr:rowOff>350</xdr:rowOff>
    </xdr:to>
    <xdr:grpSp>
      <xdr:nvGrpSpPr>
        <xdr:cNvPr id="629" name="Agrupar 628">
          <a:extLst>
            <a:ext uri="{FF2B5EF4-FFF2-40B4-BE49-F238E27FC236}">
              <a16:creationId xmlns:a16="http://schemas.microsoft.com/office/drawing/2014/main" id="{C32DDDFE-1784-4A86-B099-EB79C2CFB04A}"/>
            </a:ext>
          </a:extLst>
        </xdr:cNvPr>
        <xdr:cNvGrpSpPr/>
      </xdr:nvGrpSpPr>
      <xdr:grpSpPr>
        <a:xfrm>
          <a:off x="9115784" y="15378545"/>
          <a:ext cx="1026551" cy="866260"/>
          <a:chOff x="10249990" y="1546698"/>
          <a:chExt cx="1026770" cy="863203"/>
        </a:xfrm>
      </xdr:grpSpPr>
      <xdr:grpSp>
        <xdr:nvGrpSpPr>
          <xdr:cNvPr id="630" name="Agrupar 629">
            <a:extLst>
              <a:ext uri="{FF2B5EF4-FFF2-40B4-BE49-F238E27FC236}">
                <a16:creationId xmlns:a16="http://schemas.microsoft.com/office/drawing/2014/main" id="{CE6CB3E4-F2D8-2503-4616-51D722397AD8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632" name="Retângulo 631">
              <a:extLst>
                <a:ext uri="{FF2B5EF4-FFF2-40B4-BE49-F238E27FC236}">
                  <a16:creationId xmlns:a16="http://schemas.microsoft.com/office/drawing/2014/main" id="{000970F1-0F14-173B-8D86-D867E9CB4102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3" name="CaixaDeTexto 632">
              <a:extLst>
                <a:ext uri="{FF2B5EF4-FFF2-40B4-BE49-F238E27FC236}">
                  <a16:creationId xmlns:a16="http://schemas.microsoft.com/office/drawing/2014/main" id="{28D5A6C3-D472-CA43-4009-F8B91C9A38AA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631" name="Imagem 630">
            <a:extLst>
              <a:ext uri="{FF2B5EF4-FFF2-40B4-BE49-F238E27FC236}">
                <a16:creationId xmlns:a16="http://schemas.microsoft.com/office/drawing/2014/main" id="{83F66DC8-A3C7-FE86-34E7-4FA863D19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372993</xdr:colOff>
      <xdr:row>40</xdr:row>
      <xdr:rowOff>0</xdr:rowOff>
    </xdr:from>
    <xdr:to>
      <xdr:col>18</xdr:col>
      <xdr:colOff>185652</xdr:colOff>
      <xdr:row>41</xdr:row>
      <xdr:rowOff>350</xdr:rowOff>
    </xdr:to>
    <xdr:grpSp>
      <xdr:nvGrpSpPr>
        <xdr:cNvPr id="634" name="Agrupar 633">
          <a:extLst>
            <a:ext uri="{FF2B5EF4-FFF2-40B4-BE49-F238E27FC236}">
              <a16:creationId xmlns:a16="http://schemas.microsoft.com/office/drawing/2014/main" id="{57A09777-E756-42B7-840E-395C7E199876}"/>
            </a:ext>
          </a:extLst>
        </xdr:cNvPr>
        <xdr:cNvGrpSpPr/>
      </xdr:nvGrpSpPr>
      <xdr:grpSpPr>
        <a:xfrm>
          <a:off x="10071175" y="15378545"/>
          <a:ext cx="1024932" cy="866260"/>
          <a:chOff x="9899139" y="1970356"/>
          <a:chExt cx="1028548" cy="863203"/>
        </a:xfrm>
      </xdr:grpSpPr>
      <xdr:grpSp>
        <xdr:nvGrpSpPr>
          <xdr:cNvPr id="635" name="Agrupar 634">
            <a:extLst>
              <a:ext uri="{FF2B5EF4-FFF2-40B4-BE49-F238E27FC236}">
                <a16:creationId xmlns:a16="http://schemas.microsoft.com/office/drawing/2014/main" id="{747239A1-AF3C-FD9D-F499-785A2357EF3B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637" name="Retângulo 636">
              <a:extLst>
                <a:ext uri="{FF2B5EF4-FFF2-40B4-BE49-F238E27FC236}">
                  <a16:creationId xmlns:a16="http://schemas.microsoft.com/office/drawing/2014/main" id="{44B33791-3F79-F848-0E5E-4E6E41CF8C42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8" name="CaixaDeTexto 637">
              <a:extLst>
                <a:ext uri="{FF2B5EF4-FFF2-40B4-BE49-F238E27FC236}">
                  <a16:creationId xmlns:a16="http://schemas.microsoft.com/office/drawing/2014/main" id="{44A95288-FD6E-BBC2-2034-35A1FC51FBFA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636" name="Imagem 635">
            <a:extLst>
              <a:ext uri="{FF2B5EF4-FFF2-40B4-BE49-F238E27FC236}">
                <a16:creationId xmlns:a16="http://schemas.microsoft.com/office/drawing/2014/main" id="{AABDD956-06CA-9072-DDA3-A0470003A92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40</xdr:row>
      <xdr:rowOff>0</xdr:rowOff>
    </xdr:from>
    <xdr:to>
      <xdr:col>19</xdr:col>
      <xdr:colOff>535440</xdr:colOff>
      <xdr:row>41</xdr:row>
      <xdr:rowOff>350</xdr:rowOff>
    </xdr:to>
    <xdr:grpSp>
      <xdr:nvGrpSpPr>
        <xdr:cNvPr id="639" name="Agrupar 638">
          <a:extLst>
            <a:ext uri="{FF2B5EF4-FFF2-40B4-BE49-F238E27FC236}">
              <a16:creationId xmlns:a16="http://schemas.microsoft.com/office/drawing/2014/main" id="{7AFD85AE-2159-49E7-BC2C-76DE3F8E45AC}"/>
            </a:ext>
          </a:extLst>
        </xdr:cNvPr>
        <xdr:cNvGrpSpPr/>
      </xdr:nvGrpSpPr>
      <xdr:grpSpPr>
        <a:xfrm>
          <a:off x="11024947" y="15378545"/>
          <a:ext cx="1027084" cy="866260"/>
          <a:chOff x="10613252" y="3484008"/>
          <a:chExt cx="1034639" cy="863203"/>
        </a:xfrm>
      </xdr:grpSpPr>
      <xdr:grpSp>
        <xdr:nvGrpSpPr>
          <xdr:cNvPr id="640" name="Agrupar 639">
            <a:extLst>
              <a:ext uri="{FF2B5EF4-FFF2-40B4-BE49-F238E27FC236}">
                <a16:creationId xmlns:a16="http://schemas.microsoft.com/office/drawing/2014/main" id="{93BDEF57-8432-FE02-4798-AE034BD62D36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642" name="Retângulo 641">
              <a:extLst>
                <a:ext uri="{FF2B5EF4-FFF2-40B4-BE49-F238E27FC236}">
                  <a16:creationId xmlns:a16="http://schemas.microsoft.com/office/drawing/2014/main" id="{F369A100-BB07-98DF-FEE7-232E4A1DAE84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3" name="CaixaDeTexto 642">
              <a:extLst>
                <a:ext uri="{FF2B5EF4-FFF2-40B4-BE49-F238E27FC236}">
                  <a16:creationId xmlns:a16="http://schemas.microsoft.com/office/drawing/2014/main" id="{AC9FB1F4-FC6F-FE1C-A2F9-B1662F4F2A84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641" name="Imagem 640">
            <a:extLst>
              <a:ext uri="{FF2B5EF4-FFF2-40B4-BE49-F238E27FC236}">
                <a16:creationId xmlns:a16="http://schemas.microsoft.com/office/drawing/2014/main" id="{787FF06C-9125-26D3-AE1A-28859F57CDE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464280</xdr:colOff>
      <xdr:row>40</xdr:row>
      <xdr:rowOff>0</xdr:rowOff>
    </xdr:from>
    <xdr:to>
      <xdr:col>21</xdr:col>
      <xdr:colOff>278405</xdr:colOff>
      <xdr:row>41</xdr:row>
      <xdr:rowOff>350</xdr:rowOff>
    </xdr:to>
    <xdr:grpSp>
      <xdr:nvGrpSpPr>
        <xdr:cNvPr id="644" name="Agrupar 643">
          <a:extLst>
            <a:ext uri="{FF2B5EF4-FFF2-40B4-BE49-F238E27FC236}">
              <a16:creationId xmlns:a16="http://schemas.microsoft.com/office/drawing/2014/main" id="{2B3FBABD-36C3-4043-B593-82B589E88C3F}"/>
            </a:ext>
          </a:extLst>
        </xdr:cNvPr>
        <xdr:cNvGrpSpPr/>
      </xdr:nvGrpSpPr>
      <xdr:grpSpPr>
        <a:xfrm>
          <a:off x="11980871" y="15378545"/>
          <a:ext cx="1026398" cy="866260"/>
          <a:chOff x="10744060" y="2050831"/>
          <a:chExt cx="1032640" cy="863203"/>
        </a:xfrm>
      </xdr:grpSpPr>
      <xdr:grpSp>
        <xdr:nvGrpSpPr>
          <xdr:cNvPr id="645" name="Agrupar 644">
            <a:extLst>
              <a:ext uri="{FF2B5EF4-FFF2-40B4-BE49-F238E27FC236}">
                <a16:creationId xmlns:a16="http://schemas.microsoft.com/office/drawing/2014/main" id="{F84270C3-DFB9-7DBB-E7D8-DF6E43EAD7F9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647" name="Retângulo 646">
              <a:extLst>
                <a:ext uri="{FF2B5EF4-FFF2-40B4-BE49-F238E27FC236}">
                  <a16:creationId xmlns:a16="http://schemas.microsoft.com/office/drawing/2014/main" id="{595442DC-3BA8-DF55-530D-4BA965C5F34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8" name="CaixaDeTexto 647">
              <a:extLst>
                <a:ext uri="{FF2B5EF4-FFF2-40B4-BE49-F238E27FC236}">
                  <a16:creationId xmlns:a16="http://schemas.microsoft.com/office/drawing/2014/main" id="{EF9B9C1B-E75B-745C-664C-61B794FD320D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646" name="Imagem 645">
            <a:extLst>
              <a:ext uri="{FF2B5EF4-FFF2-40B4-BE49-F238E27FC236}">
                <a16:creationId xmlns:a16="http://schemas.microsoft.com/office/drawing/2014/main" id="{339BA864-D0D4-AB34-F9A6-0F75B09A3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550017</xdr:colOff>
      <xdr:row>40</xdr:row>
      <xdr:rowOff>0</xdr:rowOff>
    </xdr:from>
    <xdr:to>
      <xdr:col>24</xdr:col>
      <xdr:colOff>357516</xdr:colOff>
      <xdr:row>41</xdr:row>
      <xdr:rowOff>350</xdr:rowOff>
    </xdr:to>
    <xdr:grpSp>
      <xdr:nvGrpSpPr>
        <xdr:cNvPr id="649" name="Agrupar 648">
          <a:extLst>
            <a:ext uri="{FF2B5EF4-FFF2-40B4-BE49-F238E27FC236}">
              <a16:creationId xmlns:a16="http://schemas.microsoft.com/office/drawing/2014/main" id="{C325F2D7-6508-4709-89A5-B3A6D05D97E5}"/>
            </a:ext>
          </a:extLst>
        </xdr:cNvPr>
        <xdr:cNvGrpSpPr/>
      </xdr:nvGrpSpPr>
      <xdr:grpSpPr>
        <a:xfrm>
          <a:off x="13885017" y="15378545"/>
          <a:ext cx="1019772" cy="866260"/>
          <a:chOff x="10666547" y="1933904"/>
          <a:chExt cx="1032640" cy="863203"/>
        </a:xfrm>
      </xdr:grpSpPr>
      <xdr:grpSp>
        <xdr:nvGrpSpPr>
          <xdr:cNvPr id="650" name="Agrupar 649">
            <a:extLst>
              <a:ext uri="{FF2B5EF4-FFF2-40B4-BE49-F238E27FC236}">
                <a16:creationId xmlns:a16="http://schemas.microsoft.com/office/drawing/2014/main" id="{DE3A168E-6B4F-2F49-2B88-A26C7363261F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652" name="Retângulo 651">
              <a:extLst>
                <a:ext uri="{FF2B5EF4-FFF2-40B4-BE49-F238E27FC236}">
                  <a16:creationId xmlns:a16="http://schemas.microsoft.com/office/drawing/2014/main" id="{3FD63FCD-CB19-F094-B622-DB6C6B584056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3" name="CaixaDeTexto 652">
              <a:extLst>
                <a:ext uri="{FF2B5EF4-FFF2-40B4-BE49-F238E27FC236}">
                  <a16:creationId xmlns:a16="http://schemas.microsoft.com/office/drawing/2014/main" id="{2E2EF520-B898-7094-9BE7-1491561C6448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651" name="Imagem 650">
            <a:extLst>
              <a:ext uri="{FF2B5EF4-FFF2-40B4-BE49-F238E27FC236}">
                <a16:creationId xmlns:a16="http://schemas.microsoft.com/office/drawing/2014/main" id="{315654DA-717C-E24B-2E5C-30928ADC2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207245</xdr:colOff>
      <xdr:row>40</xdr:row>
      <xdr:rowOff>0</xdr:rowOff>
    </xdr:from>
    <xdr:to>
      <xdr:col>23</xdr:col>
      <xdr:colOff>16059</xdr:colOff>
      <xdr:row>41</xdr:row>
      <xdr:rowOff>350</xdr:rowOff>
    </xdr:to>
    <xdr:grpSp>
      <xdr:nvGrpSpPr>
        <xdr:cNvPr id="659" name="Agrupar 658">
          <a:extLst>
            <a:ext uri="{FF2B5EF4-FFF2-40B4-BE49-F238E27FC236}">
              <a16:creationId xmlns:a16="http://schemas.microsoft.com/office/drawing/2014/main" id="{8FE07503-B00F-4F0E-A21A-177F4CCDE1C0}"/>
            </a:ext>
          </a:extLst>
        </xdr:cNvPr>
        <xdr:cNvGrpSpPr/>
      </xdr:nvGrpSpPr>
      <xdr:grpSpPr>
        <a:xfrm>
          <a:off x="12936109" y="15378545"/>
          <a:ext cx="1021086" cy="866260"/>
          <a:chOff x="10744060" y="2050831"/>
          <a:chExt cx="1032640" cy="863203"/>
        </a:xfrm>
      </xdr:grpSpPr>
      <xdr:grpSp>
        <xdr:nvGrpSpPr>
          <xdr:cNvPr id="660" name="Agrupar 659">
            <a:extLst>
              <a:ext uri="{FF2B5EF4-FFF2-40B4-BE49-F238E27FC236}">
                <a16:creationId xmlns:a16="http://schemas.microsoft.com/office/drawing/2014/main" id="{AF4B7D72-C6C7-FC8F-260C-DD8B97CA6B61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662" name="Retângulo 661">
              <a:extLst>
                <a:ext uri="{FF2B5EF4-FFF2-40B4-BE49-F238E27FC236}">
                  <a16:creationId xmlns:a16="http://schemas.microsoft.com/office/drawing/2014/main" id="{EB59FA95-4788-0B67-C80A-FC5C25132F3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3" name="CaixaDeTexto 662">
              <a:extLst>
                <a:ext uri="{FF2B5EF4-FFF2-40B4-BE49-F238E27FC236}">
                  <a16:creationId xmlns:a16="http://schemas.microsoft.com/office/drawing/2014/main" id="{F8CE9312-0263-CCF4-EAB7-95C14C993C4E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661" name="Imagem 660">
            <a:extLst>
              <a:ext uri="{FF2B5EF4-FFF2-40B4-BE49-F238E27FC236}">
                <a16:creationId xmlns:a16="http://schemas.microsoft.com/office/drawing/2014/main" id="{85E30FEA-80AC-9B25-7F0B-F612289D6D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40</xdr:row>
      <xdr:rowOff>0</xdr:rowOff>
    </xdr:from>
    <xdr:to>
      <xdr:col>11</xdr:col>
      <xdr:colOff>352792</xdr:colOff>
      <xdr:row>41</xdr:row>
      <xdr:rowOff>350</xdr:rowOff>
    </xdr:to>
    <xdr:grpSp>
      <xdr:nvGrpSpPr>
        <xdr:cNvPr id="664" name="Agrupar 663">
          <a:extLst>
            <a:ext uri="{FF2B5EF4-FFF2-40B4-BE49-F238E27FC236}">
              <a16:creationId xmlns:a16="http://schemas.microsoft.com/office/drawing/2014/main" id="{AEE0F61C-8715-49D8-A92A-E3394418E956}"/>
            </a:ext>
          </a:extLst>
        </xdr:cNvPr>
        <xdr:cNvGrpSpPr/>
      </xdr:nvGrpSpPr>
      <xdr:grpSpPr>
        <a:xfrm>
          <a:off x="5945988" y="15378545"/>
          <a:ext cx="1074304" cy="866260"/>
          <a:chOff x="8052741" y="2471157"/>
          <a:chExt cx="1082687" cy="863203"/>
        </a:xfrm>
      </xdr:grpSpPr>
      <xdr:grpSp>
        <xdr:nvGrpSpPr>
          <xdr:cNvPr id="665" name="Agrupar 664">
            <a:extLst>
              <a:ext uri="{FF2B5EF4-FFF2-40B4-BE49-F238E27FC236}">
                <a16:creationId xmlns:a16="http://schemas.microsoft.com/office/drawing/2014/main" id="{3BA0B3A6-FD72-1448-1F04-A3F28E996AC5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667" name="Retângulo 666">
              <a:extLst>
                <a:ext uri="{FF2B5EF4-FFF2-40B4-BE49-F238E27FC236}">
                  <a16:creationId xmlns:a16="http://schemas.microsoft.com/office/drawing/2014/main" id="{AD3B0B37-CE8C-EDB8-A6A1-62D61027CA06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8" name="CaixaDeTexto 667">
              <a:extLst>
                <a:ext uri="{FF2B5EF4-FFF2-40B4-BE49-F238E27FC236}">
                  <a16:creationId xmlns:a16="http://schemas.microsoft.com/office/drawing/2014/main" id="{DCA49356-7E04-1533-0747-57E44F12C1BC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666" name="Imagem 665">
            <a:extLst>
              <a:ext uri="{FF2B5EF4-FFF2-40B4-BE49-F238E27FC236}">
                <a16:creationId xmlns:a16="http://schemas.microsoft.com/office/drawing/2014/main" id="{656E1D3E-7E8A-50F2-412D-A0FEEC2259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26008</xdr:colOff>
      <xdr:row>40</xdr:row>
      <xdr:rowOff>0</xdr:rowOff>
    </xdr:from>
    <xdr:to>
      <xdr:col>27</xdr:col>
      <xdr:colOff>457555</xdr:colOff>
      <xdr:row>41</xdr:row>
      <xdr:rowOff>350</xdr:rowOff>
    </xdr:to>
    <xdr:grpSp>
      <xdr:nvGrpSpPr>
        <xdr:cNvPr id="669" name="Agrupar 668">
          <a:extLst>
            <a:ext uri="{FF2B5EF4-FFF2-40B4-BE49-F238E27FC236}">
              <a16:creationId xmlns:a16="http://schemas.microsoft.com/office/drawing/2014/main" id="{BC0F1DC2-89A4-4AE4-8DCB-2916DA064083}"/>
            </a:ext>
          </a:extLst>
        </xdr:cNvPr>
        <xdr:cNvGrpSpPr/>
      </xdr:nvGrpSpPr>
      <xdr:grpSpPr>
        <a:xfrm>
          <a:off x="15785553" y="15378545"/>
          <a:ext cx="1037684" cy="866260"/>
          <a:chOff x="7623418" y="2467632"/>
          <a:chExt cx="1034665" cy="863203"/>
        </a:xfrm>
      </xdr:grpSpPr>
      <xdr:grpSp>
        <xdr:nvGrpSpPr>
          <xdr:cNvPr id="670" name="Agrupar 669">
            <a:extLst>
              <a:ext uri="{FF2B5EF4-FFF2-40B4-BE49-F238E27FC236}">
                <a16:creationId xmlns:a16="http://schemas.microsoft.com/office/drawing/2014/main" id="{FAF7CB28-AA4A-6ED4-C7C3-4C8DBBEA8868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672" name="Retângulo 671">
              <a:extLst>
                <a:ext uri="{FF2B5EF4-FFF2-40B4-BE49-F238E27FC236}">
                  <a16:creationId xmlns:a16="http://schemas.microsoft.com/office/drawing/2014/main" id="{6DE7C75A-43B4-8E42-83EC-274A34FAFFE3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3" name="CaixaDeTexto 672">
              <a:extLst>
                <a:ext uri="{FF2B5EF4-FFF2-40B4-BE49-F238E27FC236}">
                  <a16:creationId xmlns:a16="http://schemas.microsoft.com/office/drawing/2014/main" id="{31EE11CF-63F6-282B-68B3-588E9D585F82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671" name="Imagem 670">
            <a:extLst>
              <a:ext uri="{FF2B5EF4-FFF2-40B4-BE49-F238E27FC236}">
                <a16:creationId xmlns:a16="http://schemas.microsoft.com/office/drawing/2014/main" id="{33C7C267-756C-85A8-CF5B-8BC9590388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386395</xdr:colOff>
      <xdr:row>40</xdr:row>
      <xdr:rowOff>11028</xdr:rowOff>
    </xdr:from>
    <xdr:to>
      <xdr:col>29</xdr:col>
      <xdr:colOff>311782</xdr:colOff>
      <xdr:row>41</xdr:row>
      <xdr:rowOff>4449</xdr:rowOff>
    </xdr:to>
    <xdr:grpSp>
      <xdr:nvGrpSpPr>
        <xdr:cNvPr id="674" name="Agrupar 673">
          <a:extLst>
            <a:ext uri="{FF2B5EF4-FFF2-40B4-BE49-F238E27FC236}">
              <a16:creationId xmlns:a16="http://schemas.microsoft.com/office/drawing/2014/main" id="{7055DCC1-4C87-46DA-B2DC-BFBA0019EAE6}"/>
            </a:ext>
          </a:extLst>
        </xdr:cNvPr>
        <xdr:cNvGrpSpPr/>
      </xdr:nvGrpSpPr>
      <xdr:grpSpPr>
        <a:xfrm>
          <a:off x="16752077" y="15389573"/>
          <a:ext cx="1137660" cy="859331"/>
          <a:chOff x="7441106" y="2890839"/>
          <a:chExt cx="1139825" cy="839477"/>
        </a:xfrm>
      </xdr:grpSpPr>
      <xdr:grpSp>
        <xdr:nvGrpSpPr>
          <xdr:cNvPr id="675" name="Agrupar 674">
            <a:extLst>
              <a:ext uri="{FF2B5EF4-FFF2-40B4-BE49-F238E27FC236}">
                <a16:creationId xmlns:a16="http://schemas.microsoft.com/office/drawing/2014/main" id="{0F644DCE-18DD-F12D-F6D5-FAF9209DF335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677" name="Retângulo 676">
              <a:extLst>
                <a:ext uri="{FF2B5EF4-FFF2-40B4-BE49-F238E27FC236}">
                  <a16:creationId xmlns:a16="http://schemas.microsoft.com/office/drawing/2014/main" id="{E1907735-0B30-D751-856D-E0F805C769DE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8" name="CaixaDeTexto 677">
              <a:extLst>
                <a:ext uri="{FF2B5EF4-FFF2-40B4-BE49-F238E27FC236}">
                  <a16:creationId xmlns:a16="http://schemas.microsoft.com/office/drawing/2014/main" id="{660D32EF-3C6B-9ABD-7CEC-F1217CFFF391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676" name="Imagem 675">
            <a:extLst>
              <a:ext uri="{FF2B5EF4-FFF2-40B4-BE49-F238E27FC236}">
                <a16:creationId xmlns:a16="http://schemas.microsoft.com/office/drawing/2014/main" id="{AC82DB31-5CF4-0E5A-2745-FEC2362C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12</xdr:col>
      <xdr:colOff>103405</xdr:colOff>
      <xdr:row>41</xdr:row>
      <xdr:rowOff>9720</xdr:rowOff>
    </xdr:from>
    <xdr:ext cx="4350165" cy="483722"/>
    <xdr:sp macro="" textlink="">
      <xdr:nvSpPr>
        <xdr:cNvPr id="679" name="CaixaDeTexto 678">
          <a:extLst>
            <a:ext uri="{FF2B5EF4-FFF2-40B4-BE49-F238E27FC236}">
              <a16:creationId xmlns:a16="http://schemas.microsoft.com/office/drawing/2014/main" id="{53E93A50-6E58-474B-8197-691AC1FA4C21}"/>
            </a:ext>
          </a:extLst>
        </xdr:cNvPr>
        <xdr:cNvSpPr txBox="1"/>
      </xdr:nvSpPr>
      <xdr:spPr>
        <a:xfrm>
          <a:off x="7532905" y="16106970"/>
          <a:ext cx="4350165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Matriz Z Barra de Sequência Zero</a:t>
          </a:r>
        </a:p>
      </xdr:txBody>
    </xdr:sp>
    <xdr:clientData/>
  </xdr:oneCellAnchor>
  <xdr:twoCellAnchor>
    <xdr:from>
      <xdr:col>24</xdr:col>
      <xdr:colOff>326572</xdr:colOff>
      <xdr:row>40</xdr:row>
      <xdr:rowOff>2402</xdr:rowOff>
    </xdr:from>
    <xdr:to>
      <xdr:col>26</xdr:col>
      <xdr:colOff>119663</xdr:colOff>
      <xdr:row>41</xdr:row>
      <xdr:rowOff>3152</xdr:rowOff>
    </xdr:to>
    <xdr:grpSp>
      <xdr:nvGrpSpPr>
        <xdr:cNvPr id="680" name="Agrupar 679">
          <a:extLst>
            <a:ext uri="{FF2B5EF4-FFF2-40B4-BE49-F238E27FC236}">
              <a16:creationId xmlns:a16="http://schemas.microsoft.com/office/drawing/2014/main" id="{82CC5A1E-9701-4662-913E-F7EE1C36662E}"/>
            </a:ext>
          </a:extLst>
        </xdr:cNvPr>
        <xdr:cNvGrpSpPr/>
      </xdr:nvGrpSpPr>
      <xdr:grpSpPr>
        <a:xfrm>
          <a:off x="14873845" y="15380947"/>
          <a:ext cx="1005363" cy="866660"/>
          <a:chOff x="10666547" y="1933904"/>
          <a:chExt cx="1032640" cy="863203"/>
        </a:xfrm>
      </xdr:grpSpPr>
      <xdr:grpSp>
        <xdr:nvGrpSpPr>
          <xdr:cNvPr id="681" name="Agrupar 680">
            <a:extLst>
              <a:ext uri="{FF2B5EF4-FFF2-40B4-BE49-F238E27FC236}">
                <a16:creationId xmlns:a16="http://schemas.microsoft.com/office/drawing/2014/main" id="{E4C04383-1CCC-254A-D498-845684393EB5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683" name="Retângulo 682">
              <a:extLst>
                <a:ext uri="{FF2B5EF4-FFF2-40B4-BE49-F238E27FC236}">
                  <a16:creationId xmlns:a16="http://schemas.microsoft.com/office/drawing/2014/main" id="{6AC8C8CC-5873-B187-BECB-5DA00B11E11A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4" name="CaixaDeTexto 683">
              <a:extLst>
                <a:ext uri="{FF2B5EF4-FFF2-40B4-BE49-F238E27FC236}">
                  <a16:creationId xmlns:a16="http://schemas.microsoft.com/office/drawing/2014/main" id="{F3BBCFEB-74CC-CAAE-0056-27ACD01B2808}"/>
                </a:ext>
              </a:extLst>
            </xdr:cNvPr>
            <xdr:cNvSpPr txBox="1"/>
          </xdr:nvSpPr>
          <xdr:spPr>
            <a:xfrm>
              <a:off x="7616883" y="528204"/>
              <a:ext cx="819830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(0)</a:t>
              </a:r>
            </a:p>
          </xdr:txBody>
        </xdr:sp>
      </xdr:grpSp>
      <xdr:pic>
        <xdr:nvPicPr>
          <xdr:cNvPr id="682" name="Imagem 681">
            <a:extLst>
              <a:ext uri="{FF2B5EF4-FFF2-40B4-BE49-F238E27FC236}">
                <a16:creationId xmlns:a16="http://schemas.microsoft.com/office/drawing/2014/main" id="{63901581-3762-828C-AFCB-85EEA5138A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45</xdr:row>
      <xdr:rowOff>0</xdr:rowOff>
    </xdr:from>
    <xdr:to>
      <xdr:col>4</xdr:col>
      <xdr:colOff>129210</xdr:colOff>
      <xdr:row>45</xdr:row>
      <xdr:rowOff>861390</xdr:rowOff>
    </xdr:to>
    <xdr:sp macro="" textlink="">
      <xdr:nvSpPr>
        <xdr:cNvPr id="685" name="Retângulo 684">
          <a:extLst>
            <a:ext uri="{FF2B5EF4-FFF2-40B4-BE49-F238E27FC236}">
              <a16:creationId xmlns:a16="http://schemas.microsoft.com/office/drawing/2014/main" id="{5A00B07C-BC37-4544-A9B3-9A517EA69C22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45</xdr:row>
      <xdr:rowOff>44868</xdr:rowOff>
    </xdr:from>
    <xdr:to>
      <xdr:col>1</xdr:col>
      <xdr:colOff>198951</xdr:colOff>
      <xdr:row>45</xdr:row>
      <xdr:rowOff>744273</xdr:rowOff>
    </xdr:to>
    <xdr:sp macro="" textlink="">
      <xdr:nvSpPr>
        <xdr:cNvPr id="686" name="Raio 685">
          <a:extLst>
            <a:ext uri="{FF2B5EF4-FFF2-40B4-BE49-F238E27FC236}">
              <a16:creationId xmlns:a16="http://schemas.microsoft.com/office/drawing/2014/main" id="{E18F6C4C-500F-4FC9-A775-2AC8D063ACC5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45</xdr:row>
      <xdr:rowOff>88624</xdr:rowOff>
    </xdr:from>
    <xdr:ext cx="5325718" cy="593239"/>
    <xdr:sp macro="" textlink="">
      <xdr:nvSpPr>
        <xdr:cNvPr id="687" name="CaixaDeTexto 686">
          <a:extLst>
            <a:ext uri="{FF2B5EF4-FFF2-40B4-BE49-F238E27FC236}">
              <a16:creationId xmlns:a16="http://schemas.microsoft.com/office/drawing/2014/main" id="{0EC0D3C7-766C-4332-AE3F-554184E32B3F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11</xdr:col>
      <xdr:colOff>281632</xdr:colOff>
      <xdr:row>45</xdr:row>
      <xdr:rowOff>0</xdr:rowOff>
    </xdr:from>
    <xdr:to>
      <xdr:col>13</xdr:col>
      <xdr:colOff>156332</xdr:colOff>
      <xdr:row>46</xdr:row>
      <xdr:rowOff>350</xdr:rowOff>
    </xdr:to>
    <xdr:grpSp>
      <xdr:nvGrpSpPr>
        <xdr:cNvPr id="688" name="Agrupar 687">
          <a:extLst>
            <a:ext uri="{FF2B5EF4-FFF2-40B4-BE49-F238E27FC236}">
              <a16:creationId xmlns:a16="http://schemas.microsoft.com/office/drawing/2014/main" id="{F14A878C-50A3-4C79-9D8F-BB6BF013DBF4}"/>
            </a:ext>
          </a:extLst>
        </xdr:cNvPr>
        <xdr:cNvGrpSpPr/>
      </xdr:nvGrpSpPr>
      <xdr:grpSpPr>
        <a:xfrm>
          <a:off x="6949132" y="17300864"/>
          <a:ext cx="1086973" cy="866259"/>
          <a:chOff x="7411601" y="0"/>
          <a:chExt cx="1097234" cy="870672"/>
        </a:xfrm>
      </xdr:grpSpPr>
      <xdr:sp macro="" textlink="">
        <xdr:nvSpPr>
          <xdr:cNvPr id="689" name="Retângulo 688">
            <a:extLst>
              <a:ext uri="{FF2B5EF4-FFF2-40B4-BE49-F238E27FC236}">
                <a16:creationId xmlns:a16="http://schemas.microsoft.com/office/drawing/2014/main" id="{92B49DF3-81E7-CC4E-2AE9-0C932C96CE49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90" name="Imagem 689">
            <a:extLst>
              <a:ext uri="{FF2B5EF4-FFF2-40B4-BE49-F238E27FC236}">
                <a16:creationId xmlns:a16="http://schemas.microsoft.com/office/drawing/2014/main" id="{AD7329F6-0588-98B3-CAF9-1EAA2B7C629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91" name="CaixaDeTexto 690">
            <a:extLst>
              <a:ext uri="{FF2B5EF4-FFF2-40B4-BE49-F238E27FC236}">
                <a16:creationId xmlns:a16="http://schemas.microsoft.com/office/drawing/2014/main" id="{369A18BA-534F-E151-07AD-DFEF62E4395B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13</xdr:col>
      <xdr:colOff>85172</xdr:colOff>
      <xdr:row>45</xdr:row>
      <xdr:rowOff>0</xdr:rowOff>
    </xdr:from>
    <xdr:to>
      <xdr:col>15</xdr:col>
      <xdr:colOff>94899</xdr:colOff>
      <xdr:row>46</xdr:row>
      <xdr:rowOff>350</xdr:rowOff>
    </xdr:to>
    <xdr:grpSp>
      <xdr:nvGrpSpPr>
        <xdr:cNvPr id="692" name="Agrupar 691">
          <a:extLst>
            <a:ext uri="{FF2B5EF4-FFF2-40B4-BE49-F238E27FC236}">
              <a16:creationId xmlns:a16="http://schemas.microsoft.com/office/drawing/2014/main" id="{4F8226D3-47EF-404E-951C-EFC01E376FB7}"/>
            </a:ext>
          </a:extLst>
        </xdr:cNvPr>
        <xdr:cNvGrpSpPr/>
      </xdr:nvGrpSpPr>
      <xdr:grpSpPr>
        <a:xfrm>
          <a:off x="7964945" y="17300864"/>
          <a:ext cx="1221999" cy="866259"/>
          <a:chOff x="10965361" y="1520405"/>
          <a:chExt cx="1231803" cy="863203"/>
        </a:xfrm>
      </xdr:grpSpPr>
      <xdr:grpSp>
        <xdr:nvGrpSpPr>
          <xdr:cNvPr id="693" name="Agrupar 692">
            <a:extLst>
              <a:ext uri="{FF2B5EF4-FFF2-40B4-BE49-F238E27FC236}">
                <a16:creationId xmlns:a16="http://schemas.microsoft.com/office/drawing/2014/main" id="{57E9CB75-ADAE-0D0E-531A-87C00D72F08E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695" name="Retângulo 694">
              <a:extLst>
                <a:ext uri="{FF2B5EF4-FFF2-40B4-BE49-F238E27FC236}">
                  <a16:creationId xmlns:a16="http://schemas.microsoft.com/office/drawing/2014/main" id="{7D1FCC65-544B-80D8-49D8-D701DC5A2225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6" name="CaixaDeTexto 695">
              <a:extLst>
                <a:ext uri="{FF2B5EF4-FFF2-40B4-BE49-F238E27FC236}">
                  <a16:creationId xmlns:a16="http://schemas.microsoft.com/office/drawing/2014/main" id="{F580A6C0-0D1A-F64A-6655-C078C5EA5D35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694" name="Imagem 693">
            <a:extLst>
              <a:ext uri="{FF2B5EF4-FFF2-40B4-BE49-F238E27FC236}">
                <a16:creationId xmlns:a16="http://schemas.microsoft.com/office/drawing/2014/main" id="{1847F360-7632-9B36-F176-7437EA38015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45</xdr:row>
      <xdr:rowOff>0</xdr:rowOff>
    </xdr:from>
    <xdr:to>
      <xdr:col>16</xdr:col>
      <xdr:colOff>444153</xdr:colOff>
      <xdr:row>46</xdr:row>
      <xdr:rowOff>350</xdr:rowOff>
    </xdr:to>
    <xdr:grpSp>
      <xdr:nvGrpSpPr>
        <xdr:cNvPr id="697" name="Agrupar 696">
          <a:extLst>
            <a:ext uri="{FF2B5EF4-FFF2-40B4-BE49-F238E27FC236}">
              <a16:creationId xmlns:a16="http://schemas.microsoft.com/office/drawing/2014/main" id="{5CB05AFB-C7DA-4618-8CC5-10019ABA9ECD}"/>
            </a:ext>
          </a:extLst>
        </xdr:cNvPr>
        <xdr:cNvGrpSpPr/>
      </xdr:nvGrpSpPr>
      <xdr:grpSpPr>
        <a:xfrm>
          <a:off x="9115784" y="17300864"/>
          <a:ext cx="1026551" cy="866259"/>
          <a:chOff x="10249990" y="1546698"/>
          <a:chExt cx="1026770" cy="863203"/>
        </a:xfrm>
      </xdr:grpSpPr>
      <xdr:grpSp>
        <xdr:nvGrpSpPr>
          <xdr:cNvPr id="698" name="Agrupar 697">
            <a:extLst>
              <a:ext uri="{FF2B5EF4-FFF2-40B4-BE49-F238E27FC236}">
                <a16:creationId xmlns:a16="http://schemas.microsoft.com/office/drawing/2014/main" id="{2B872923-A28E-D876-42CA-4502A1D95967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700" name="Retângulo 699">
              <a:extLst>
                <a:ext uri="{FF2B5EF4-FFF2-40B4-BE49-F238E27FC236}">
                  <a16:creationId xmlns:a16="http://schemas.microsoft.com/office/drawing/2014/main" id="{D8924E20-1E34-5229-5B51-C537AE42EAB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1" name="CaixaDeTexto 700">
              <a:extLst>
                <a:ext uri="{FF2B5EF4-FFF2-40B4-BE49-F238E27FC236}">
                  <a16:creationId xmlns:a16="http://schemas.microsoft.com/office/drawing/2014/main" id="{B9B3C3E4-7669-3035-6BB0-052ACDE88B05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699" name="Imagem 698">
            <a:extLst>
              <a:ext uri="{FF2B5EF4-FFF2-40B4-BE49-F238E27FC236}">
                <a16:creationId xmlns:a16="http://schemas.microsoft.com/office/drawing/2014/main" id="{4B639538-A6B6-D553-D4DD-4C8ACF5112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372993</xdr:colOff>
      <xdr:row>45</xdr:row>
      <xdr:rowOff>0</xdr:rowOff>
    </xdr:from>
    <xdr:to>
      <xdr:col>18</xdr:col>
      <xdr:colOff>185652</xdr:colOff>
      <xdr:row>46</xdr:row>
      <xdr:rowOff>350</xdr:rowOff>
    </xdr:to>
    <xdr:grpSp>
      <xdr:nvGrpSpPr>
        <xdr:cNvPr id="702" name="Agrupar 701">
          <a:extLst>
            <a:ext uri="{FF2B5EF4-FFF2-40B4-BE49-F238E27FC236}">
              <a16:creationId xmlns:a16="http://schemas.microsoft.com/office/drawing/2014/main" id="{31515B8B-1631-4B6C-84AA-985B90C5A7E7}"/>
            </a:ext>
          </a:extLst>
        </xdr:cNvPr>
        <xdr:cNvGrpSpPr/>
      </xdr:nvGrpSpPr>
      <xdr:grpSpPr>
        <a:xfrm>
          <a:off x="10071175" y="17300864"/>
          <a:ext cx="1024932" cy="866259"/>
          <a:chOff x="9899139" y="1970356"/>
          <a:chExt cx="1028548" cy="863203"/>
        </a:xfrm>
      </xdr:grpSpPr>
      <xdr:grpSp>
        <xdr:nvGrpSpPr>
          <xdr:cNvPr id="703" name="Agrupar 702">
            <a:extLst>
              <a:ext uri="{FF2B5EF4-FFF2-40B4-BE49-F238E27FC236}">
                <a16:creationId xmlns:a16="http://schemas.microsoft.com/office/drawing/2014/main" id="{FF156E07-88DD-82C5-670D-90624DDDA23A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705" name="Retângulo 704">
              <a:extLst>
                <a:ext uri="{FF2B5EF4-FFF2-40B4-BE49-F238E27FC236}">
                  <a16:creationId xmlns:a16="http://schemas.microsoft.com/office/drawing/2014/main" id="{6C3160CE-4E37-BE32-DDED-5592AB332ED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6" name="CaixaDeTexto 705">
              <a:extLst>
                <a:ext uri="{FF2B5EF4-FFF2-40B4-BE49-F238E27FC236}">
                  <a16:creationId xmlns:a16="http://schemas.microsoft.com/office/drawing/2014/main" id="{3DAF95CC-9DDF-30B1-975D-91F8755937E8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704" name="Imagem 703">
            <a:extLst>
              <a:ext uri="{FF2B5EF4-FFF2-40B4-BE49-F238E27FC236}">
                <a16:creationId xmlns:a16="http://schemas.microsoft.com/office/drawing/2014/main" id="{B53D6FE8-E921-F1D2-C3D3-5A8D4F3B27E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45</xdr:row>
      <xdr:rowOff>0</xdr:rowOff>
    </xdr:from>
    <xdr:to>
      <xdr:col>19</xdr:col>
      <xdr:colOff>535440</xdr:colOff>
      <xdr:row>46</xdr:row>
      <xdr:rowOff>350</xdr:rowOff>
    </xdr:to>
    <xdr:grpSp>
      <xdr:nvGrpSpPr>
        <xdr:cNvPr id="707" name="Agrupar 706">
          <a:extLst>
            <a:ext uri="{FF2B5EF4-FFF2-40B4-BE49-F238E27FC236}">
              <a16:creationId xmlns:a16="http://schemas.microsoft.com/office/drawing/2014/main" id="{D314D4B3-A550-4A06-8B91-A73F265F4AFA}"/>
            </a:ext>
          </a:extLst>
        </xdr:cNvPr>
        <xdr:cNvGrpSpPr/>
      </xdr:nvGrpSpPr>
      <xdr:grpSpPr>
        <a:xfrm>
          <a:off x="11024947" y="17300864"/>
          <a:ext cx="1027084" cy="866259"/>
          <a:chOff x="10613252" y="3484008"/>
          <a:chExt cx="1034639" cy="863203"/>
        </a:xfrm>
      </xdr:grpSpPr>
      <xdr:grpSp>
        <xdr:nvGrpSpPr>
          <xdr:cNvPr id="708" name="Agrupar 707">
            <a:extLst>
              <a:ext uri="{FF2B5EF4-FFF2-40B4-BE49-F238E27FC236}">
                <a16:creationId xmlns:a16="http://schemas.microsoft.com/office/drawing/2014/main" id="{8F39444E-A486-2460-F54D-5E7C542772E0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710" name="Retângulo 709">
              <a:extLst>
                <a:ext uri="{FF2B5EF4-FFF2-40B4-BE49-F238E27FC236}">
                  <a16:creationId xmlns:a16="http://schemas.microsoft.com/office/drawing/2014/main" id="{BA86403B-AE6F-E7D3-4BD9-F826FE2A59A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11" name="CaixaDeTexto 710">
              <a:extLst>
                <a:ext uri="{FF2B5EF4-FFF2-40B4-BE49-F238E27FC236}">
                  <a16:creationId xmlns:a16="http://schemas.microsoft.com/office/drawing/2014/main" id="{8D9CBD6B-44BC-45A4-59DC-1F75156A0C4B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709" name="Imagem 708">
            <a:extLst>
              <a:ext uri="{FF2B5EF4-FFF2-40B4-BE49-F238E27FC236}">
                <a16:creationId xmlns:a16="http://schemas.microsoft.com/office/drawing/2014/main" id="{8CBC18F0-A581-28DE-D006-94ECEDE4C7E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464280</xdr:colOff>
      <xdr:row>45</xdr:row>
      <xdr:rowOff>0</xdr:rowOff>
    </xdr:from>
    <xdr:to>
      <xdr:col>21</xdr:col>
      <xdr:colOff>278405</xdr:colOff>
      <xdr:row>46</xdr:row>
      <xdr:rowOff>350</xdr:rowOff>
    </xdr:to>
    <xdr:grpSp>
      <xdr:nvGrpSpPr>
        <xdr:cNvPr id="712" name="Agrupar 711">
          <a:extLst>
            <a:ext uri="{FF2B5EF4-FFF2-40B4-BE49-F238E27FC236}">
              <a16:creationId xmlns:a16="http://schemas.microsoft.com/office/drawing/2014/main" id="{129BC29E-8DE9-4209-A041-3E3970A710CF}"/>
            </a:ext>
          </a:extLst>
        </xdr:cNvPr>
        <xdr:cNvGrpSpPr/>
      </xdr:nvGrpSpPr>
      <xdr:grpSpPr>
        <a:xfrm>
          <a:off x="11980871" y="17300864"/>
          <a:ext cx="1026398" cy="866259"/>
          <a:chOff x="10744060" y="2050831"/>
          <a:chExt cx="1032640" cy="863203"/>
        </a:xfrm>
      </xdr:grpSpPr>
      <xdr:grpSp>
        <xdr:nvGrpSpPr>
          <xdr:cNvPr id="713" name="Agrupar 712">
            <a:extLst>
              <a:ext uri="{FF2B5EF4-FFF2-40B4-BE49-F238E27FC236}">
                <a16:creationId xmlns:a16="http://schemas.microsoft.com/office/drawing/2014/main" id="{A24574C4-8846-E7D4-107E-0931C4A0DF3F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715" name="Retângulo 714">
              <a:extLst>
                <a:ext uri="{FF2B5EF4-FFF2-40B4-BE49-F238E27FC236}">
                  <a16:creationId xmlns:a16="http://schemas.microsoft.com/office/drawing/2014/main" id="{EDA2E3AB-F0D8-6530-02A4-4A7FF765FFF2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16" name="CaixaDeTexto 715">
              <a:extLst>
                <a:ext uri="{FF2B5EF4-FFF2-40B4-BE49-F238E27FC236}">
                  <a16:creationId xmlns:a16="http://schemas.microsoft.com/office/drawing/2014/main" id="{D3438E83-924F-FB56-03D6-32D419E6AD72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714" name="Imagem 713">
            <a:extLst>
              <a:ext uri="{FF2B5EF4-FFF2-40B4-BE49-F238E27FC236}">
                <a16:creationId xmlns:a16="http://schemas.microsoft.com/office/drawing/2014/main" id="{360F8D0F-3F4C-8713-4B3A-33F55CE73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550017</xdr:colOff>
      <xdr:row>45</xdr:row>
      <xdr:rowOff>0</xdr:rowOff>
    </xdr:from>
    <xdr:to>
      <xdr:col>24</xdr:col>
      <xdr:colOff>357516</xdr:colOff>
      <xdr:row>46</xdr:row>
      <xdr:rowOff>350</xdr:rowOff>
    </xdr:to>
    <xdr:grpSp>
      <xdr:nvGrpSpPr>
        <xdr:cNvPr id="717" name="Agrupar 716">
          <a:extLst>
            <a:ext uri="{FF2B5EF4-FFF2-40B4-BE49-F238E27FC236}">
              <a16:creationId xmlns:a16="http://schemas.microsoft.com/office/drawing/2014/main" id="{A5C05FE9-3E04-4594-8181-F5A611038FBC}"/>
            </a:ext>
          </a:extLst>
        </xdr:cNvPr>
        <xdr:cNvGrpSpPr/>
      </xdr:nvGrpSpPr>
      <xdr:grpSpPr>
        <a:xfrm>
          <a:off x="13885017" y="17300864"/>
          <a:ext cx="1019772" cy="866259"/>
          <a:chOff x="10666547" y="1933904"/>
          <a:chExt cx="1032640" cy="863203"/>
        </a:xfrm>
      </xdr:grpSpPr>
      <xdr:grpSp>
        <xdr:nvGrpSpPr>
          <xdr:cNvPr id="718" name="Agrupar 717">
            <a:extLst>
              <a:ext uri="{FF2B5EF4-FFF2-40B4-BE49-F238E27FC236}">
                <a16:creationId xmlns:a16="http://schemas.microsoft.com/office/drawing/2014/main" id="{60AB41A2-7417-258A-017A-F765C453763A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720" name="Retângulo 719">
              <a:extLst>
                <a:ext uri="{FF2B5EF4-FFF2-40B4-BE49-F238E27FC236}">
                  <a16:creationId xmlns:a16="http://schemas.microsoft.com/office/drawing/2014/main" id="{1E5D7BD1-7571-72B7-D8D4-EB3320B00A4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21" name="CaixaDeTexto 720">
              <a:extLst>
                <a:ext uri="{FF2B5EF4-FFF2-40B4-BE49-F238E27FC236}">
                  <a16:creationId xmlns:a16="http://schemas.microsoft.com/office/drawing/2014/main" id="{1FE114CF-7B8B-4371-48D8-0CFB71639CD4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719" name="Imagem 718">
            <a:extLst>
              <a:ext uri="{FF2B5EF4-FFF2-40B4-BE49-F238E27FC236}">
                <a16:creationId xmlns:a16="http://schemas.microsoft.com/office/drawing/2014/main" id="{1AB0FB61-1C21-22D0-BB7E-9E3562EEBD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286356</xdr:colOff>
      <xdr:row>45</xdr:row>
      <xdr:rowOff>0</xdr:rowOff>
    </xdr:from>
    <xdr:to>
      <xdr:col>26</xdr:col>
      <xdr:colOff>97168</xdr:colOff>
      <xdr:row>46</xdr:row>
      <xdr:rowOff>350</xdr:rowOff>
    </xdr:to>
    <xdr:grpSp>
      <xdr:nvGrpSpPr>
        <xdr:cNvPr id="722" name="Agrupar 721">
          <a:extLst>
            <a:ext uri="{FF2B5EF4-FFF2-40B4-BE49-F238E27FC236}">
              <a16:creationId xmlns:a16="http://schemas.microsoft.com/office/drawing/2014/main" id="{6FC655B5-C9B4-4963-BC10-95AD53F55103}"/>
            </a:ext>
          </a:extLst>
        </xdr:cNvPr>
        <xdr:cNvGrpSpPr/>
      </xdr:nvGrpSpPr>
      <xdr:grpSpPr>
        <a:xfrm>
          <a:off x="14833629" y="17300864"/>
          <a:ext cx="1023084" cy="866259"/>
          <a:chOff x="10666547" y="1933904"/>
          <a:chExt cx="1032640" cy="863203"/>
        </a:xfrm>
      </xdr:grpSpPr>
      <xdr:grpSp>
        <xdr:nvGrpSpPr>
          <xdr:cNvPr id="723" name="Agrupar 722">
            <a:extLst>
              <a:ext uri="{FF2B5EF4-FFF2-40B4-BE49-F238E27FC236}">
                <a16:creationId xmlns:a16="http://schemas.microsoft.com/office/drawing/2014/main" id="{E171D1C6-0C06-628D-959F-4C4B8725EE52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725" name="Retângulo 724">
              <a:extLst>
                <a:ext uri="{FF2B5EF4-FFF2-40B4-BE49-F238E27FC236}">
                  <a16:creationId xmlns:a16="http://schemas.microsoft.com/office/drawing/2014/main" id="{859C33D0-3A5C-CC5E-69E4-308BF8A0014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26" name="CaixaDeTexto 725">
              <a:extLst>
                <a:ext uri="{FF2B5EF4-FFF2-40B4-BE49-F238E27FC236}">
                  <a16:creationId xmlns:a16="http://schemas.microsoft.com/office/drawing/2014/main" id="{9002F5B2-954B-56B5-E356-E682E2405DFA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724" name="Imagem 723">
            <a:extLst>
              <a:ext uri="{FF2B5EF4-FFF2-40B4-BE49-F238E27FC236}">
                <a16:creationId xmlns:a16="http://schemas.microsoft.com/office/drawing/2014/main" id="{1A5EF1CA-BEB5-AC73-6FB7-A359B7028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207245</xdr:colOff>
      <xdr:row>45</xdr:row>
      <xdr:rowOff>0</xdr:rowOff>
    </xdr:from>
    <xdr:to>
      <xdr:col>23</xdr:col>
      <xdr:colOff>16059</xdr:colOff>
      <xdr:row>46</xdr:row>
      <xdr:rowOff>350</xdr:rowOff>
    </xdr:to>
    <xdr:grpSp>
      <xdr:nvGrpSpPr>
        <xdr:cNvPr id="727" name="Agrupar 726">
          <a:extLst>
            <a:ext uri="{FF2B5EF4-FFF2-40B4-BE49-F238E27FC236}">
              <a16:creationId xmlns:a16="http://schemas.microsoft.com/office/drawing/2014/main" id="{ABA7AE2A-8FFB-4FF0-B7E0-612A464BE90C}"/>
            </a:ext>
          </a:extLst>
        </xdr:cNvPr>
        <xdr:cNvGrpSpPr/>
      </xdr:nvGrpSpPr>
      <xdr:grpSpPr>
        <a:xfrm>
          <a:off x="12936109" y="17300864"/>
          <a:ext cx="1021086" cy="866259"/>
          <a:chOff x="10744060" y="2050831"/>
          <a:chExt cx="1032640" cy="863203"/>
        </a:xfrm>
      </xdr:grpSpPr>
      <xdr:grpSp>
        <xdr:nvGrpSpPr>
          <xdr:cNvPr id="728" name="Agrupar 727">
            <a:extLst>
              <a:ext uri="{FF2B5EF4-FFF2-40B4-BE49-F238E27FC236}">
                <a16:creationId xmlns:a16="http://schemas.microsoft.com/office/drawing/2014/main" id="{4733071B-D0B5-5EB0-B2BB-F24138503B2C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730" name="Retângulo 729">
              <a:extLst>
                <a:ext uri="{FF2B5EF4-FFF2-40B4-BE49-F238E27FC236}">
                  <a16:creationId xmlns:a16="http://schemas.microsoft.com/office/drawing/2014/main" id="{B23F5C14-2F4F-942A-612C-5E608B4FBF9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1" name="CaixaDeTexto 730">
              <a:extLst>
                <a:ext uri="{FF2B5EF4-FFF2-40B4-BE49-F238E27FC236}">
                  <a16:creationId xmlns:a16="http://schemas.microsoft.com/office/drawing/2014/main" id="{48AAEB69-AB37-F04C-13CF-6783EB2AF50A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729" name="Imagem 728">
            <a:extLst>
              <a:ext uri="{FF2B5EF4-FFF2-40B4-BE49-F238E27FC236}">
                <a16:creationId xmlns:a16="http://schemas.microsoft.com/office/drawing/2014/main" id="{3A3D92C9-3D83-C06B-81CD-7EFF542CD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45</xdr:row>
      <xdr:rowOff>0</xdr:rowOff>
    </xdr:from>
    <xdr:to>
      <xdr:col>11</xdr:col>
      <xdr:colOff>352792</xdr:colOff>
      <xdr:row>46</xdr:row>
      <xdr:rowOff>350</xdr:rowOff>
    </xdr:to>
    <xdr:grpSp>
      <xdr:nvGrpSpPr>
        <xdr:cNvPr id="732" name="Agrupar 731">
          <a:extLst>
            <a:ext uri="{FF2B5EF4-FFF2-40B4-BE49-F238E27FC236}">
              <a16:creationId xmlns:a16="http://schemas.microsoft.com/office/drawing/2014/main" id="{3B7132E2-EE87-4F0B-9086-3B416E5DBF30}"/>
            </a:ext>
          </a:extLst>
        </xdr:cNvPr>
        <xdr:cNvGrpSpPr/>
      </xdr:nvGrpSpPr>
      <xdr:grpSpPr>
        <a:xfrm>
          <a:off x="5945988" y="17300864"/>
          <a:ext cx="1074304" cy="866259"/>
          <a:chOff x="8052741" y="2471157"/>
          <a:chExt cx="1082687" cy="863203"/>
        </a:xfrm>
      </xdr:grpSpPr>
      <xdr:grpSp>
        <xdr:nvGrpSpPr>
          <xdr:cNvPr id="733" name="Agrupar 732">
            <a:extLst>
              <a:ext uri="{FF2B5EF4-FFF2-40B4-BE49-F238E27FC236}">
                <a16:creationId xmlns:a16="http://schemas.microsoft.com/office/drawing/2014/main" id="{8A25B929-04C1-2685-7F33-E1F5471FBBD1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735" name="Retângulo 734">
              <a:extLst>
                <a:ext uri="{FF2B5EF4-FFF2-40B4-BE49-F238E27FC236}">
                  <a16:creationId xmlns:a16="http://schemas.microsoft.com/office/drawing/2014/main" id="{62D1B289-A5AD-78DC-AE36-DAD1885B3C9A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6" name="CaixaDeTexto 735">
              <a:extLst>
                <a:ext uri="{FF2B5EF4-FFF2-40B4-BE49-F238E27FC236}">
                  <a16:creationId xmlns:a16="http://schemas.microsoft.com/office/drawing/2014/main" id="{B184FBC0-9799-615A-622B-042E93A3CA3B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734" name="Imagem 733">
            <a:extLst>
              <a:ext uri="{FF2B5EF4-FFF2-40B4-BE49-F238E27FC236}">
                <a16:creationId xmlns:a16="http://schemas.microsoft.com/office/drawing/2014/main" id="{123F1D27-F14C-F627-5B03-2D73247D37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27</xdr:col>
      <xdr:colOff>386395</xdr:colOff>
      <xdr:row>45</xdr:row>
      <xdr:rowOff>11028</xdr:rowOff>
    </xdr:from>
    <xdr:to>
      <xdr:col>29</xdr:col>
      <xdr:colOff>311782</xdr:colOff>
      <xdr:row>46</xdr:row>
      <xdr:rowOff>4449</xdr:rowOff>
    </xdr:to>
    <xdr:grpSp>
      <xdr:nvGrpSpPr>
        <xdr:cNvPr id="742" name="Agrupar 741">
          <a:extLst>
            <a:ext uri="{FF2B5EF4-FFF2-40B4-BE49-F238E27FC236}">
              <a16:creationId xmlns:a16="http://schemas.microsoft.com/office/drawing/2014/main" id="{7F7F7B48-CFFD-4155-9F5B-A41D8ED67DA8}"/>
            </a:ext>
          </a:extLst>
        </xdr:cNvPr>
        <xdr:cNvGrpSpPr/>
      </xdr:nvGrpSpPr>
      <xdr:grpSpPr>
        <a:xfrm>
          <a:off x="16752077" y="17311892"/>
          <a:ext cx="1137660" cy="859330"/>
          <a:chOff x="7441106" y="2890839"/>
          <a:chExt cx="1139825" cy="839477"/>
        </a:xfrm>
      </xdr:grpSpPr>
      <xdr:grpSp>
        <xdr:nvGrpSpPr>
          <xdr:cNvPr id="743" name="Agrupar 742">
            <a:extLst>
              <a:ext uri="{FF2B5EF4-FFF2-40B4-BE49-F238E27FC236}">
                <a16:creationId xmlns:a16="http://schemas.microsoft.com/office/drawing/2014/main" id="{3C572429-BEB8-9D24-355F-9CCE3A3349D6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745" name="Retângulo 744">
              <a:extLst>
                <a:ext uri="{FF2B5EF4-FFF2-40B4-BE49-F238E27FC236}">
                  <a16:creationId xmlns:a16="http://schemas.microsoft.com/office/drawing/2014/main" id="{1EA8B2F0-180E-31D2-6E5B-A7D5F3BA1E41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6" name="CaixaDeTexto 745">
              <a:extLst>
                <a:ext uri="{FF2B5EF4-FFF2-40B4-BE49-F238E27FC236}">
                  <a16:creationId xmlns:a16="http://schemas.microsoft.com/office/drawing/2014/main" id="{FC7497C4-9A88-69C0-3712-DF97E5D884CE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744" name="Imagem 743">
            <a:extLst>
              <a:ext uri="{FF2B5EF4-FFF2-40B4-BE49-F238E27FC236}">
                <a16:creationId xmlns:a16="http://schemas.microsoft.com/office/drawing/2014/main" id="{FE758B74-540D-CD01-2048-969D278E9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oneCellAnchor>
    <xdr:from>
      <xdr:col>12</xdr:col>
      <xdr:colOff>387296</xdr:colOff>
      <xdr:row>46</xdr:row>
      <xdr:rowOff>9720</xdr:rowOff>
    </xdr:from>
    <xdr:ext cx="3782382" cy="483722"/>
    <xdr:sp macro="" textlink="">
      <xdr:nvSpPr>
        <xdr:cNvPr id="747" name="CaixaDeTexto 746">
          <a:extLst>
            <a:ext uri="{FF2B5EF4-FFF2-40B4-BE49-F238E27FC236}">
              <a16:creationId xmlns:a16="http://schemas.microsoft.com/office/drawing/2014/main" id="{DC9F0136-207D-424F-B5B0-9B7B87B538A0}"/>
            </a:ext>
          </a:extLst>
        </xdr:cNvPr>
        <xdr:cNvSpPr txBox="1"/>
      </xdr:nvSpPr>
      <xdr:spPr>
        <a:xfrm>
          <a:off x="7816796" y="18011970"/>
          <a:ext cx="3782382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Relatório do Caso de Estudo</a:t>
          </a:r>
        </a:p>
      </xdr:txBody>
    </xdr:sp>
    <xdr:clientData/>
  </xdr:oneCellAnchor>
  <xdr:twoCellAnchor>
    <xdr:from>
      <xdr:col>25</xdr:col>
      <xdr:colOff>593337</xdr:colOff>
      <xdr:row>44</xdr:row>
      <xdr:rowOff>159876</xdr:rowOff>
    </xdr:from>
    <xdr:to>
      <xdr:col>27</xdr:col>
      <xdr:colOff>413247</xdr:colOff>
      <xdr:row>46</xdr:row>
      <xdr:rowOff>6568</xdr:rowOff>
    </xdr:to>
    <xdr:grpSp>
      <xdr:nvGrpSpPr>
        <xdr:cNvPr id="753" name="Agrupar 752">
          <a:extLst>
            <a:ext uri="{FF2B5EF4-FFF2-40B4-BE49-F238E27FC236}">
              <a16:creationId xmlns:a16="http://schemas.microsoft.com/office/drawing/2014/main" id="{3F1B30DB-3145-0497-3933-7DA301082D97}"/>
            </a:ext>
          </a:extLst>
        </xdr:cNvPr>
        <xdr:cNvGrpSpPr/>
      </xdr:nvGrpSpPr>
      <xdr:grpSpPr>
        <a:xfrm>
          <a:off x="15746746" y="17270240"/>
          <a:ext cx="1032183" cy="903101"/>
          <a:chOff x="7623418" y="2437102"/>
          <a:chExt cx="1034665" cy="924262"/>
        </a:xfrm>
      </xdr:grpSpPr>
      <xdr:grpSp>
        <xdr:nvGrpSpPr>
          <xdr:cNvPr id="754" name="Agrupar 753">
            <a:extLst>
              <a:ext uri="{FF2B5EF4-FFF2-40B4-BE49-F238E27FC236}">
                <a16:creationId xmlns:a16="http://schemas.microsoft.com/office/drawing/2014/main" id="{A85C2C2C-05A4-83BD-1C86-4FB7D750FE0C}"/>
              </a:ext>
            </a:extLst>
          </xdr:cNvPr>
          <xdr:cNvGrpSpPr/>
        </xdr:nvGrpSpPr>
        <xdr:grpSpPr>
          <a:xfrm>
            <a:off x="7623418" y="2437102"/>
            <a:ext cx="1034665" cy="924262"/>
            <a:chOff x="7532966" y="-30794"/>
            <a:chExt cx="1030879" cy="932259"/>
          </a:xfrm>
        </xdr:grpSpPr>
        <xdr:sp macro="" textlink="">
          <xdr:nvSpPr>
            <xdr:cNvPr id="756" name="Retângulo 755">
              <a:extLst>
                <a:ext uri="{FF2B5EF4-FFF2-40B4-BE49-F238E27FC236}">
                  <a16:creationId xmlns:a16="http://schemas.microsoft.com/office/drawing/2014/main" id="{92A9FA90-7539-2A97-504A-2151A6BFB81B}"/>
                </a:ext>
              </a:extLst>
            </xdr:cNvPr>
            <xdr:cNvSpPr/>
          </xdr:nvSpPr>
          <xdr:spPr>
            <a:xfrm>
              <a:off x="7532966" y="-30794"/>
              <a:ext cx="1030879" cy="932259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57" name="CaixaDeTexto 756">
              <a:extLst>
                <a:ext uri="{FF2B5EF4-FFF2-40B4-BE49-F238E27FC236}">
                  <a16:creationId xmlns:a16="http://schemas.microsoft.com/office/drawing/2014/main" id="{0CDC8373-C90B-DCB5-E8F6-D62777BEA61B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Relatório</a:t>
              </a:r>
            </a:p>
          </xdr:txBody>
        </xdr:sp>
      </xdr:grpSp>
      <xdr:pic>
        <xdr:nvPicPr>
          <xdr:cNvPr id="755" name="Imagem 754">
            <a:extLst>
              <a:ext uri="{FF2B5EF4-FFF2-40B4-BE49-F238E27FC236}">
                <a16:creationId xmlns:a16="http://schemas.microsoft.com/office/drawing/2014/main" id="{0561B561-D405-658A-B369-8A73732E1B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50</xdr:row>
      <xdr:rowOff>0</xdr:rowOff>
    </xdr:from>
    <xdr:to>
      <xdr:col>4</xdr:col>
      <xdr:colOff>129210</xdr:colOff>
      <xdr:row>50</xdr:row>
      <xdr:rowOff>861390</xdr:rowOff>
    </xdr:to>
    <xdr:sp macro="" textlink="">
      <xdr:nvSpPr>
        <xdr:cNvPr id="758" name="Retângulo 757">
          <a:extLst>
            <a:ext uri="{FF2B5EF4-FFF2-40B4-BE49-F238E27FC236}">
              <a16:creationId xmlns:a16="http://schemas.microsoft.com/office/drawing/2014/main" id="{1AC08BED-06AF-4F9C-A53F-E8F4D979B1C8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152687</xdr:colOff>
      <xdr:row>50</xdr:row>
      <xdr:rowOff>44868</xdr:rowOff>
    </xdr:from>
    <xdr:to>
      <xdr:col>1</xdr:col>
      <xdr:colOff>198951</xdr:colOff>
      <xdr:row>50</xdr:row>
      <xdr:rowOff>744273</xdr:rowOff>
    </xdr:to>
    <xdr:sp macro="" textlink="">
      <xdr:nvSpPr>
        <xdr:cNvPr id="759" name="Raio 758">
          <a:extLst>
            <a:ext uri="{FF2B5EF4-FFF2-40B4-BE49-F238E27FC236}">
              <a16:creationId xmlns:a16="http://schemas.microsoft.com/office/drawing/2014/main" id="{07710EC0-CC63-4BEC-8204-297C744C54BD}"/>
            </a:ext>
          </a:extLst>
        </xdr:cNvPr>
        <xdr:cNvSpPr/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195056</xdr:colOff>
      <xdr:row>50</xdr:row>
      <xdr:rowOff>88624</xdr:rowOff>
    </xdr:from>
    <xdr:ext cx="5325718" cy="593239"/>
    <xdr:sp macro="" textlink="">
      <xdr:nvSpPr>
        <xdr:cNvPr id="760" name="CaixaDeTexto 759">
          <a:extLst>
            <a:ext uri="{FF2B5EF4-FFF2-40B4-BE49-F238E27FC236}">
              <a16:creationId xmlns:a16="http://schemas.microsoft.com/office/drawing/2014/main" id="{39919FAA-3068-4DAE-87D3-7CAA9F37F9F0}"/>
            </a:ext>
          </a:extLst>
        </xdr:cNvPr>
        <xdr:cNvSpPr txBox="1"/>
      </xdr:nvSpPr>
      <xdr:spPr>
        <a:xfrm>
          <a:off x="804656" y="88624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oneCellAnchor>
  <xdr:twoCellAnchor>
    <xdr:from>
      <xdr:col>11</xdr:col>
      <xdr:colOff>281632</xdr:colOff>
      <xdr:row>50</xdr:row>
      <xdr:rowOff>0</xdr:rowOff>
    </xdr:from>
    <xdr:to>
      <xdr:col>13</xdr:col>
      <xdr:colOff>156332</xdr:colOff>
      <xdr:row>51</xdr:row>
      <xdr:rowOff>350</xdr:rowOff>
    </xdr:to>
    <xdr:grpSp>
      <xdr:nvGrpSpPr>
        <xdr:cNvPr id="761" name="Agrupar 760">
          <a:extLst>
            <a:ext uri="{FF2B5EF4-FFF2-40B4-BE49-F238E27FC236}">
              <a16:creationId xmlns:a16="http://schemas.microsoft.com/office/drawing/2014/main" id="{E749D6CC-D798-4BF5-A4CC-27BA1CA59752}"/>
            </a:ext>
          </a:extLst>
        </xdr:cNvPr>
        <xdr:cNvGrpSpPr/>
      </xdr:nvGrpSpPr>
      <xdr:grpSpPr>
        <a:xfrm>
          <a:off x="6949132" y="19223182"/>
          <a:ext cx="1086973" cy="866259"/>
          <a:chOff x="7411601" y="0"/>
          <a:chExt cx="1097234" cy="870672"/>
        </a:xfrm>
      </xdr:grpSpPr>
      <xdr:sp macro="" textlink="">
        <xdr:nvSpPr>
          <xdr:cNvPr id="762" name="Retângulo 761">
            <a:extLst>
              <a:ext uri="{FF2B5EF4-FFF2-40B4-BE49-F238E27FC236}">
                <a16:creationId xmlns:a16="http://schemas.microsoft.com/office/drawing/2014/main" id="{2821A803-186A-7CBB-4247-B0218CFAFD27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63" name="Imagem 762">
            <a:extLst>
              <a:ext uri="{FF2B5EF4-FFF2-40B4-BE49-F238E27FC236}">
                <a16:creationId xmlns:a16="http://schemas.microsoft.com/office/drawing/2014/main" id="{56017CD0-A8DC-DD88-6313-9EAC435A30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780194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764" name="CaixaDeTexto 763">
            <a:extLst>
              <a:ext uri="{FF2B5EF4-FFF2-40B4-BE49-F238E27FC236}">
                <a16:creationId xmlns:a16="http://schemas.microsoft.com/office/drawing/2014/main" id="{5C1C665D-0906-9A3A-0767-E711671735AD}"/>
              </a:ext>
            </a:extLst>
          </xdr:cNvPr>
          <xdr:cNvSpPr txBox="1"/>
        </xdr:nvSpPr>
        <xdr:spPr>
          <a:xfrm>
            <a:off x="7529080" y="52820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>
    <xdr:from>
      <xdr:col>13</xdr:col>
      <xdr:colOff>85172</xdr:colOff>
      <xdr:row>50</xdr:row>
      <xdr:rowOff>0</xdr:rowOff>
    </xdr:from>
    <xdr:to>
      <xdr:col>15</xdr:col>
      <xdr:colOff>94899</xdr:colOff>
      <xdr:row>51</xdr:row>
      <xdr:rowOff>350</xdr:rowOff>
    </xdr:to>
    <xdr:grpSp>
      <xdr:nvGrpSpPr>
        <xdr:cNvPr id="765" name="Agrupar 764">
          <a:extLst>
            <a:ext uri="{FF2B5EF4-FFF2-40B4-BE49-F238E27FC236}">
              <a16:creationId xmlns:a16="http://schemas.microsoft.com/office/drawing/2014/main" id="{70FA9AB1-DEAA-4DE2-A16F-47236A3FF26F}"/>
            </a:ext>
          </a:extLst>
        </xdr:cNvPr>
        <xdr:cNvGrpSpPr/>
      </xdr:nvGrpSpPr>
      <xdr:grpSpPr>
        <a:xfrm>
          <a:off x="7964945" y="19223182"/>
          <a:ext cx="1221999" cy="866259"/>
          <a:chOff x="10965361" y="1520405"/>
          <a:chExt cx="1231803" cy="863203"/>
        </a:xfrm>
      </xdr:grpSpPr>
      <xdr:grpSp>
        <xdr:nvGrpSpPr>
          <xdr:cNvPr id="766" name="Agrupar 765">
            <a:extLst>
              <a:ext uri="{FF2B5EF4-FFF2-40B4-BE49-F238E27FC236}">
                <a16:creationId xmlns:a16="http://schemas.microsoft.com/office/drawing/2014/main" id="{5F24BB7E-50C6-4BF6-A13A-D2B2E4EA920A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768" name="Retângulo 767">
              <a:extLst>
                <a:ext uri="{FF2B5EF4-FFF2-40B4-BE49-F238E27FC236}">
                  <a16:creationId xmlns:a16="http://schemas.microsoft.com/office/drawing/2014/main" id="{4543B2D3-584A-7654-FFB9-FE9149E9340F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9" name="CaixaDeTexto 768">
              <a:extLst>
                <a:ext uri="{FF2B5EF4-FFF2-40B4-BE49-F238E27FC236}">
                  <a16:creationId xmlns:a16="http://schemas.microsoft.com/office/drawing/2014/main" id="{BEC7BD6A-460B-D1FA-4F25-27A6BCF562EE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767" name="Imagem 766">
            <a:extLst>
              <a:ext uri="{FF2B5EF4-FFF2-40B4-BE49-F238E27FC236}">
                <a16:creationId xmlns:a16="http://schemas.microsoft.com/office/drawing/2014/main" id="{7F1B69D3-807C-9DCF-CE70-25A51DC63AB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23739</xdr:colOff>
      <xdr:row>50</xdr:row>
      <xdr:rowOff>0</xdr:rowOff>
    </xdr:from>
    <xdr:to>
      <xdr:col>16</xdr:col>
      <xdr:colOff>444153</xdr:colOff>
      <xdr:row>51</xdr:row>
      <xdr:rowOff>350</xdr:rowOff>
    </xdr:to>
    <xdr:grpSp>
      <xdr:nvGrpSpPr>
        <xdr:cNvPr id="770" name="Agrupar 769">
          <a:extLst>
            <a:ext uri="{FF2B5EF4-FFF2-40B4-BE49-F238E27FC236}">
              <a16:creationId xmlns:a16="http://schemas.microsoft.com/office/drawing/2014/main" id="{FFC8A145-BE9D-48FF-884F-627A5313213D}"/>
            </a:ext>
          </a:extLst>
        </xdr:cNvPr>
        <xdr:cNvGrpSpPr/>
      </xdr:nvGrpSpPr>
      <xdr:grpSpPr>
        <a:xfrm>
          <a:off x="9115784" y="19223182"/>
          <a:ext cx="1026551" cy="866259"/>
          <a:chOff x="10249990" y="1546698"/>
          <a:chExt cx="1026770" cy="863203"/>
        </a:xfrm>
      </xdr:grpSpPr>
      <xdr:grpSp>
        <xdr:nvGrpSpPr>
          <xdr:cNvPr id="771" name="Agrupar 770">
            <a:extLst>
              <a:ext uri="{FF2B5EF4-FFF2-40B4-BE49-F238E27FC236}">
                <a16:creationId xmlns:a16="http://schemas.microsoft.com/office/drawing/2014/main" id="{04033680-CBC4-176D-EE25-292A495014C4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773" name="Retângulo 772">
              <a:extLst>
                <a:ext uri="{FF2B5EF4-FFF2-40B4-BE49-F238E27FC236}">
                  <a16:creationId xmlns:a16="http://schemas.microsoft.com/office/drawing/2014/main" id="{2BB41749-2B83-FB8A-86BC-770C3B80C3D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74" name="CaixaDeTexto 773">
              <a:extLst>
                <a:ext uri="{FF2B5EF4-FFF2-40B4-BE49-F238E27FC236}">
                  <a16:creationId xmlns:a16="http://schemas.microsoft.com/office/drawing/2014/main" id="{6EE1738A-208E-3BB2-C5B4-09E1567E8301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772" name="Imagem 771">
            <a:extLst>
              <a:ext uri="{FF2B5EF4-FFF2-40B4-BE49-F238E27FC236}">
                <a16:creationId xmlns:a16="http://schemas.microsoft.com/office/drawing/2014/main" id="{71639A30-9247-4B96-731E-3DA9FC23A9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372993</xdr:colOff>
      <xdr:row>50</xdr:row>
      <xdr:rowOff>0</xdr:rowOff>
    </xdr:from>
    <xdr:to>
      <xdr:col>18</xdr:col>
      <xdr:colOff>185652</xdr:colOff>
      <xdr:row>51</xdr:row>
      <xdr:rowOff>350</xdr:rowOff>
    </xdr:to>
    <xdr:grpSp>
      <xdr:nvGrpSpPr>
        <xdr:cNvPr id="775" name="Agrupar 774">
          <a:extLst>
            <a:ext uri="{FF2B5EF4-FFF2-40B4-BE49-F238E27FC236}">
              <a16:creationId xmlns:a16="http://schemas.microsoft.com/office/drawing/2014/main" id="{E9BC6072-8E5E-4640-9639-DE993FF1452A}"/>
            </a:ext>
          </a:extLst>
        </xdr:cNvPr>
        <xdr:cNvGrpSpPr/>
      </xdr:nvGrpSpPr>
      <xdr:grpSpPr>
        <a:xfrm>
          <a:off x="10071175" y="19223182"/>
          <a:ext cx="1024932" cy="866259"/>
          <a:chOff x="9899139" y="1970356"/>
          <a:chExt cx="1028548" cy="863203"/>
        </a:xfrm>
      </xdr:grpSpPr>
      <xdr:grpSp>
        <xdr:nvGrpSpPr>
          <xdr:cNvPr id="776" name="Agrupar 775">
            <a:extLst>
              <a:ext uri="{FF2B5EF4-FFF2-40B4-BE49-F238E27FC236}">
                <a16:creationId xmlns:a16="http://schemas.microsoft.com/office/drawing/2014/main" id="{658C1901-FE47-C37F-59F3-74A0B211916D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778" name="Retângulo 777">
              <a:extLst>
                <a:ext uri="{FF2B5EF4-FFF2-40B4-BE49-F238E27FC236}">
                  <a16:creationId xmlns:a16="http://schemas.microsoft.com/office/drawing/2014/main" id="{529F122E-5B21-4E66-36D3-6F981A0F4A3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79" name="CaixaDeTexto 778">
              <a:extLst>
                <a:ext uri="{FF2B5EF4-FFF2-40B4-BE49-F238E27FC236}">
                  <a16:creationId xmlns:a16="http://schemas.microsoft.com/office/drawing/2014/main" id="{0C5EBDF0-63CA-0897-CE9C-107F86419DAB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777" name="Imagem 776">
            <a:extLst>
              <a:ext uri="{FF2B5EF4-FFF2-40B4-BE49-F238E27FC236}">
                <a16:creationId xmlns:a16="http://schemas.microsoft.com/office/drawing/2014/main" id="{92F18E4D-8907-A064-51E5-3244DDFA852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114492</xdr:colOff>
      <xdr:row>50</xdr:row>
      <xdr:rowOff>0</xdr:rowOff>
    </xdr:from>
    <xdr:to>
      <xdr:col>19</xdr:col>
      <xdr:colOff>535440</xdr:colOff>
      <xdr:row>51</xdr:row>
      <xdr:rowOff>350</xdr:rowOff>
    </xdr:to>
    <xdr:grpSp>
      <xdr:nvGrpSpPr>
        <xdr:cNvPr id="780" name="Agrupar 779">
          <a:extLst>
            <a:ext uri="{FF2B5EF4-FFF2-40B4-BE49-F238E27FC236}">
              <a16:creationId xmlns:a16="http://schemas.microsoft.com/office/drawing/2014/main" id="{8D8E4D64-BFF9-4FF1-8F41-30CDB2B06E7D}"/>
            </a:ext>
          </a:extLst>
        </xdr:cNvPr>
        <xdr:cNvGrpSpPr/>
      </xdr:nvGrpSpPr>
      <xdr:grpSpPr>
        <a:xfrm>
          <a:off x="11024947" y="19223182"/>
          <a:ext cx="1027084" cy="866259"/>
          <a:chOff x="10613252" y="3484008"/>
          <a:chExt cx="1034639" cy="863203"/>
        </a:xfrm>
      </xdr:grpSpPr>
      <xdr:grpSp>
        <xdr:nvGrpSpPr>
          <xdr:cNvPr id="781" name="Agrupar 780">
            <a:extLst>
              <a:ext uri="{FF2B5EF4-FFF2-40B4-BE49-F238E27FC236}">
                <a16:creationId xmlns:a16="http://schemas.microsoft.com/office/drawing/2014/main" id="{6865703F-86BA-5FEF-7BCF-5832AED3B8D0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783" name="Retângulo 782">
              <a:extLst>
                <a:ext uri="{FF2B5EF4-FFF2-40B4-BE49-F238E27FC236}">
                  <a16:creationId xmlns:a16="http://schemas.microsoft.com/office/drawing/2014/main" id="{D80BC263-819C-2C84-6FC4-6177A0FDDCF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84" name="CaixaDeTexto 783">
              <a:extLst>
                <a:ext uri="{FF2B5EF4-FFF2-40B4-BE49-F238E27FC236}">
                  <a16:creationId xmlns:a16="http://schemas.microsoft.com/office/drawing/2014/main" id="{9A44BBC4-985A-C191-1338-AAD5EAB50C9A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782" name="Imagem 781">
            <a:extLst>
              <a:ext uri="{FF2B5EF4-FFF2-40B4-BE49-F238E27FC236}">
                <a16:creationId xmlns:a16="http://schemas.microsoft.com/office/drawing/2014/main" id="{FFE43FB3-DBC5-D671-DD51-C8F1279B128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464280</xdr:colOff>
      <xdr:row>50</xdr:row>
      <xdr:rowOff>0</xdr:rowOff>
    </xdr:from>
    <xdr:to>
      <xdr:col>21</xdr:col>
      <xdr:colOff>278405</xdr:colOff>
      <xdr:row>51</xdr:row>
      <xdr:rowOff>350</xdr:rowOff>
    </xdr:to>
    <xdr:grpSp>
      <xdr:nvGrpSpPr>
        <xdr:cNvPr id="785" name="Agrupar 784">
          <a:extLst>
            <a:ext uri="{FF2B5EF4-FFF2-40B4-BE49-F238E27FC236}">
              <a16:creationId xmlns:a16="http://schemas.microsoft.com/office/drawing/2014/main" id="{755F99BB-5EE1-4FAC-8BB9-0886AB8BC096}"/>
            </a:ext>
          </a:extLst>
        </xdr:cNvPr>
        <xdr:cNvGrpSpPr/>
      </xdr:nvGrpSpPr>
      <xdr:grpSpPr>
        <a:xfrm>
          <a:off x="11980871" y="19223182"/>
          <a:ext cx="1026398" cy="866259"/>
          <a:chOff x="10744060" y="2050831"/>
          <a:chExt cx="1032640" cy="863203"/>
        </a:xfrm>
      </xdr:grpSpPr>
      <xdr:grpSp>
        <xdr:nvGrpSpPr>
          <xdr:cNvPr id="786" name="Agrupar 785">
            <a:extLst>
              <a:ext uri="{FF2B5EF4-FFF2-40B4-BE49-F238E27FC236}">
                <a16:creationId xmlns:a16="http://schemas.microsoft.com/office/drawing/2014/main" id="{25393DA9-E7EB-8E41-3339-DD50468A6A25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788" name="Retângulo 787">
              <a:extLst>
                <a:ext uri="{FF2B5EF4-FFF2-40B4-BE49-F238E27FC236}">
                  <a16:creationId xmlns:a16="http://schemas.microsoft.com/office/drawing/2014/main" id="{8D252883-033D-FBC2-B6DE-A571645C8D4C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89" name="CaixaDeTexto 788">
              <a:extLst>
                <a:ext uri="{FF2B5EF4-FFF2-40B4-BE49-F238E27FC236}">
                  <a16:creationId xmlns:a16="http://schemas.microsoft.com/office/drawing/2014/main" id="{700520A4-AAD8-1F91-73B3-229C985E7A61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787" name="Imagem 786">
            <a:extLst>
              <a:ext uri="{FF2B5EF4-FFF2-40B4-BE49-F238E27FC236}">
                <a16:creationId xmlns:a16="http://schemas.microsoft.com/office/drawing/2014/main" id="{A923A16F-BDC0-97CF-E972-9671AB44F7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550017</xdr:colOff>
      <xdr:row>50</xdr:row>
      <xdr:rowOff>0</xdr:rowOff>
    </xdr:from>
    <xdr:to>
      <xdr:col>24</xdr:col>
      <xdr:colOff>357516</xdr:colOff>
      <xdr:row>51</xdr:row>
      <xdr:rowOff>350</xdr:rowOff>
    </xdr:to>
    <xdr:grpSp>
      <xdr:nvGrpSpPr>
        <xdr:cNvPr id="790" name="Agrupar 789">
          <a:extLst>
            <a:ext uri="{FF2B5EF4-FFF2-40B4-BE49-F238E27FC236}">
              <a16:creationId xmlns:a16="http://schemas.microsoft.com/office/drawing/2014/main" id="{3B895413-F4DE-47A8-83D7-33C645D7E3A7}"/>
            </a:ext>
          </a:extLst>
        </xdr:cNvPr>
        <xdr:cNvGrpSpPr/>
      </xdr:nvGrpSpPr>
      <xdr:grpSpPr>
        <a:xfrm>
          <a:off x="13885017" y="19223182"/>
          <a:ext cx="1019772" cy="866259"/>
          <a:chOff x="10666547" y="1933904"/>
          <a:chExt cx="1032640" cy="863203"/>
        </a:xfrm>
      </xdr:grpSpPr>
      <xdr:grpSp>
        <xdr:nvGrpSpPr>
          <xdr:cNvPr id="791" name="Agrupar 790">
            <a:extLst>
              <a:ext uri="{FF2B5EF4-FFF2-40B4-BE49-F238E27FC236}">
                <a16:creationId xmlns:a16="http://schemas.microsoft.com/office/drawing/2014/main" id="{472A3CC9-F100-E345-F115-33D152FEF3AF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793" name="Retângulo 792">
              <a:extLst>
                <a:ext uri="{FF2B5EF4-FFF2-40B4-BE49-F238E27FC236}">
                  <a16:creationId xmlns:a16="http://schemas.microsoft.com/office/drawing/2014/main" id="{0AD64A38-1AD1-CB7C-34CB-6611AB335B2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4" name="CaixaDeTexto 793">
              <a:extLst>
                <a:ext uri="{FF2B5EF4-FFF2-40B4-BE49-F238E27FC236}">
                  <a16:creationId xmlns:a16="http://schemas.microsoft.com/office/drawing/2014/main" id="{E8A4696A-3A58-07CC-9FED-CA48F8F01B5A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792" name="Imagem 791">
            <a:extLst>
              <a:ext uri="{FF2B5EF4-FFF2-40B4-BE49-F238E27FC236}">
                <a16:creationId xmlns:a16="http://schemas.microsoft.com/office/drawing/2014/main" id="{821B0429-C775-6706-4CF5-824FD2650E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286356</xdr:colOff>
      <xdr:row>50</xdr:row>
      <xdr:rowOff>0</xdr:rowOff>
    </xdr:from>
    <xdr:to>
      <xdr:col>26</xdr:col>
      <xdr:colOff>97168</xdr:colOff>
      <xdr:row>51</xdr:row>
      <xdr:rowOff>350</xdr:rowOff>
    </xdr:to>
    <xdr:grpSp>
      <xdr:nvGrpSpPr>
        <xdr:cNvPr id="795" name="Agrupar 794">
          <a:extLst>
            <a:ext uri="{FF2B5EF4-FFF2-40B4-BE49-F238E27FC236}">
              <a16:creationId xmlns:a16="http://schemas.microsoft.com/office/drawing/2014/main" id="{383D5B2C-1369-4BC8-A189-230DE181694D}"/>
            </a:ext>
          </a:extLst>
        </xdr:cNvPr>
        <xdr:cNvGrpSpPr/>
      </xdr:nvGrpSpPr>
      <xdr:grpSpPr>
        <a:xfrm>
          <a:off x="14833629" y="19223182"/>
          <a:ext cx="1023084" cy="866259"/>
          <a:chOff x="10666547" y="1933904"/>
          <a:chExt cx="1032640" cy="863203"/>
        </a:xfrm>
      </xdr:grpSpPr>
      <xdr:grpSp>
        <xdr:nvGrpSpPr>
          <xdr:cNvPr id="796" name="Agrupar 795">
            <a:extLst>
              <a:ext uri="{FF2B5EF4-FFF2-40B4-BE49-F238E27FC236}">
                <a16:creationId xmlns:a16="http://schemas.microsoft.com/office/drawing/2014/main" id="{21C53875-58DC-DCC9-79AC-128205F522B2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798" name="Retângulo 797">
              <a:extLst>
                <a:ext uri="{FF2B5EF4-FFF2-40B4-BE49-F238E27FC236}">
                  <a16:creationId xmlns:a16="http://schemas.microsoft.com/office/drawing/2014/main" id="{FFD9BC80-D459-C87D-2322-B5933D4ECD6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9" name="CaixaDeTexto 798">
              <a:extLst>
                <a:ext uri="{FF2B5EF4-FFF2-40B4-BE49-F238E27FC236}">
                  <a16:creationId xmlns:a16="http://schemas.microsoft.com/office/drawing/2014/main" id="{59A40DBE-A2AF-D8CB-0877-4AE8DC4A5BBB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797" name="Imagem 796">
            <a:extLst>
              <a:ext uri="{FF2B5EF4-FFF2-40B4-BE49-F238E27FC236}">
                <a16:creationId xmlns:a16="http://schemas.microsoft.com/office/drawing/2014/main" id="{93127529-0480-03C1-1C0F-AD0803A290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207245</xdr:colOff>
      <xdr:row>50</xdr:row>
      <xdr:rowOff>0</xdr:rowOff>
    </xdr:from>
    <xdr:to>
      <xdr:col>23</xdr:col>
      <xdr:colOff>16059</xdr:colOff>
      <xdr:row>51</xdr:row>
      <xdr:rowOff>350</xdr:rowOff>
    </xdr:to>
    <xdr:grpSp>
      <xdr:nvGrpSpPr>
        <xdr:cNvPr id="800" name="Agrupar 799">
          <a:extLst>
            <a:ext uri="{FF2B5EF4-FFF2-40B4-BE49-F238E27FC236}">
              <a16:creationId xmlns:a16="http://schemas.microsoft.com/office/drawing/2014/main" id="{77B9625F-D117-4831-BDAB-AB4E80C3704A}"/>
            </a:ext>
          </a:extLst>
        </xdr:cNvPr>
        <xdr:cNvGrpSpPr/>
      </xdr:nvGrpSpPr>
      <xdr:grpSpPr>
        <a:xfrm>
          <a:off x="12936109" y="19223182"/>
          <a:ext cx="1021086" cy="866259"/>
          <a:chOff x="10744060" y="2050831"/>
          <a:chExt cx="1032640" cy="863203"/>
        </a:xfrm>
      </xdr:grpSpPr>
      <xdr:grpSp>
        <xdr:nvGrpSpPr>
          <xdr:cNvPr id="801" name="Agrupar 800">
            <a:extLst>
              <a:ext uri="{FF2B5EF4-FFF2-40B4-BE49-F238E27FC236}">
                <a16:creationId xmlns:a16="http://schemas.microsoft.com/office/drawing/2014/main" id="{F8186E00-B7F3-341E-E736-6FB361AE7DC7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803" name="Retângulo 802">
              <a:extLst>
                <a:ext uri="{FF2B5EF4-FFF2-40B4-BE49-F238E27FC236}">
                  <a16:creationId xmlns:a16="http://schemas.microsoft.com/office/drawing/2014/main" id="{4FFC3FD8-1FAB-E288-9802-633C2A221814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04" name="CaixaDeTexto 803">
              <a:extLst>
                <a:ext uri="{FF2B5EF4-FFF2-40B4-BE49-F238E27FC236}">
                  <a16:creationId xmlns:a16="http://schemas.microsoft.com/office/drawing/2014/main" id="{62BF4590-8696-2255-5B3E-C28A775AE778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802" name="Imagem 801">
            <a:extLst>
              <a:ext uri="{FF2B5EF4-FFF2-40B4-BE49-F238E27FC236}">
                <a16:creationId xmlns:a16="http://schemas.microsoft.com/office/drawing/2014/main" id="{3B3C3DA6-0D9B-00D7-C381-41F638B31F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490761</xdr:colOff>
      <xdr:row>50</xdr:row>
      <xdr:rowOff>0</xdr:rowOff>
    </xdr:from>
    <xdr:to>
      <xdr:col>11</xdr:col>
      <xdr:colOff>352792</xdr:colOff>
      <xdr:row>51</xdr:row>
      <xdr:rowOff>350</xdr:rowOff>
    </xdr:to>
    <xdr:grpSp>
      <xdr:nvGrpSpPr>
        <xdr:cNvPr id="805" name="Agrupar 804">
          <a:extLst>
            <a:ext uri="{FF2B5EF4-FFF2-40B4-BE49-F238E27FC236}">
              <a16:creationId xmlns:a16="http://schemas.microsoft.com/office/drawing/2014/main" id="{3E6BF1B0-1DF2-45D6-9CA5-18590297A207}"/>
            </a:ext>
          </a:extLst>
        </xdr:cNvPr>
        <xdr:cNvGrpSpPr/>
      </xdr:nvGrpSpPr>
      <xdr:grpSpPr>
        <a:xfrm>
          <a:off x="5945988" y="19223182"/>
          <a:ext cx="1074304" cy="866259"/>
          <a:chOff x="8052741" y="2471157"/>
          <a:chExt cx="1082687" cy="863203"/>
        </a:xfrm>
      </xdr:grpSpPr>
      <xdr:grpSp>
        <xdr:nvGrpSpPr>
          <xdr:cNvPr id="806" name="Agrupar 805">
            <a:extLst>
              <a:ext uri="{FF2B5EF4-FFF2-40B4-BE49-F238E27FC236}">
                <a16:creationId xmlns:a16="http://schemas.microsoft.com/office/drawing/2014/main" id="{56EFB20D-3B81-187D-333B-FC69AA273077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808" name="Retângulo 807">
              <a:extLst>
                <a:ext uri="{FF2B5EF4-FFF2-40B4-BE49-F238E27FC236}">
                  <a16:creationId xmlns:a16="http://schemas.microsoft.com/office/drawing/2014/main" id="{2E7CAED8-FB5C-A363-B29D-2667B27FAC42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09" name="CaixaDeTexto 808">
              <a:extLst>
                <a:ext uri="{FF2B5EF4-FFF2-40B4-BE49-F238E27FC236}">
                  <a16:creationId xmlns:a16="http://schemas.microsoft.com/office/drawing/2014/main" id="{DB04D5F7-B958-23C7-D876-6A1120BE70EA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807" name="Imagem 806">
            <a:extLst>
              <a:ext uri="{FF2B5EF4-FFF2-40B4-BE49-F238E27FC236}">
                <a16:creationId xmlns:a16="http://schemas.microsoft.com/office/drawing/2014/main" id="{761864EF-D577-0EC0-48ED-AA3CB56F98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26008</xdr:colOff>
      <xdr:row>50</xdr:row>
      <xdr:rowOff>0</xdr:rowOff>
    </xdr:from>
    <xdr:to>
      <xdr:col>27</xdr:col>
      <xdr:colOff>457555</xdr:colOff>
      <xdr:row>51</xdr:row>
      <xdr:rowOff>350</xdr:rowOff>
    </xdr:to>
    <xdr:grpSp>
      <xdr:nvGrpSpPr>
        <xdr:cNvPr id="810" name="Agrupar 809">
          <a:extLst>
            <a:ext uri="{FF2B5EF4-FFF2-40B4-BE49-F238E27FC236}">
              <a16:creationId xmlns:a16="http://schemas.microsoft.com/office/drawing/2014/main" id="{5363E653-C4C0-422C-9983-01726EBD163B}"/>
            </a:ext>
          </a:extLst>
        </xdr:cNvPr>
        <xdr:cNvGrpSpPr/>
      </xdr:nvGrpSpPr>
      <xdr:grpSpPr>
        <a:xfrm>
          <a:off x="15785553" y="19223182"/>
          <a:ext cx="1037684" cy="866259"/>
          <a:chOff x="7623418" y="2467632"/>
          <a:chExt cx="1034665" cy="863203"/>
        </a:xfrm>
      </xdr:grpSpPr>
      <xdr:grpSp>
        <xdr:nvGrpSpPr>
          <xdr:cNvPr id="811" name="Agrupar 810">
            <a:extLst>
              <a:ext uri="{FF2B5EF4-FFF2-40B4-BE49-F238E27FC236}">
                <a16:creationId xmlns:a16="http://schemas.microsoft.com/office/drawing/2014/main" id="{4F393FE0-203D-99FA-4814-0B1E727D7381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813" name="Retângulo 812">
              <a:extLst>
                <a:ext uri="{FF2B5EF4-FFF2-40B4-BE49-F238E27FC236}">
                  <a16:creationId xmlns:a16="http://schemas.microsoft.com/office/drawing/2014/main" id="{20294350-80CC-A917-BD97-2FE482623C6C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14" name="CaixaDeTexto 813">
              <a:extLst>
                <a:ext uri="{FF2B5EF4-FFF2-40B4-BE49-F238E27FC236}">
                  <a16:creationId xmlns:a16="http://schemas.microsoft.com/office/drawing/2014/main" id="{316BBB63-71F8-4E41-B487-D734A8AABB6B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812" name="Imagem 811">
            <a:extLst>
              <a:ext uri="{FF2B5EF4-FFF2-40B4-BE49-F238E27FC236}">
                <a16:creationId xmlns:a16="http://schemas.microsoft.com/office/drawing/2014/main" id="{52FB95E2-AC46-3803-F122-DA26D3B423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oneCellAnchor>
    <xdr:from>
      <xdr:col>11</xdr:col>
      <xdr:colOff>142114</xdr:colOff>
      <xdr:row>51</xdr:row>
      <xdr:rowOff>9720</xdr:rowOff>
    </xdr:from>
    <xdr:ext cx="5510996" cy="483722"/>
    <xdr:sp macro="" textlink="">
      <xdr:nvSpPr>
        <xdr:cNvPr id="820" name="CaixaDeTexto 819">
          <a:extLst>
            <a:ext uri="{FF2B5EF4-FFF2-40B4-BE49-F238E27FC236}">
              <a16:creationId xmlns:a16="http://schemas.microsoft.com/office/drawing/2014/main" id="{845A48C1-C1CF-4AAD-9456-9920208FC3C1}"/>
            </a:ext>
          </a:extLst>
        </xdr:cNvPr>
        <xdr:cNvSpPr txBox="1"/>
      </xdr:nvSpPr>
      <xdr:spPr>
        <a:xfrm>
          <a:off x="6952489" y="19916970"/>
          <a:ext cx="5510996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Diagrama do Sistema Elétrico de Potência</a:t>
          </a:r>
        </a:p>
      </xdr:txBody>
    </xdr:sp>
    <xdr:clientData/>
  </xdr:oneCellAnchor>
  <xdr:twoCellAnchor>
    <xdr:from>
      <xdr:col>27</xdr:col>
      <xdr:colOff>432954</xdr:colOff>
      <xdr:row>49</xdr:row>
      <xdr:rowOff>185406</xdr:rowOff>
    </xdr:from>
    <xdr:to>
      <xdr:col>29</xdr:col>
      <xdr:colOff>356304</xdr:colOff>
      <xdr:row>51</xdr:row>
      <xdr:rowOff>604</xdr:rowOff>
    </xdr:to>
    <xdr:grpSp>
      <xdr:nvGrpSpPr>
        <xdr:cNvPr id="821" name="Agrupar 820">
          <a:extLst>
            <a:ext uri="{FF2B5EF4-FFF2-40B4-BE49-F238E27FC236}">
              <a16:creationId xmlns:a16="http://schemas.microsoft.com/office/drawing/2014/main" id="{E88A5AE8-FD1D-469D-8DCF-6D44173A7204}"/>
            </a:ext>
          </a:extLst>
        </xdr:cNvPr>
        <xdr:cNvGrpSpPr/>
      </xdr:nvGrpSpPr>
      <xdr:grpSpPr>
        <a:xfrm>
          <a:off x="16798636" y="19218088"/>
          <a:ext cx="1135623" cy="871607"/>
          <a:chOff x="7441106" y="2890838"/>
          <a:chExt cx="1139825" cy="867125"/>
        </a:xfrm>
      </xdr:grpSpPr>
      <xdr:grpSp>
        <xdr:nvGrpSpPr>
          <xdr:cNvPr id="822" name="Agrupar 821">
            <a:extLst>
              <a:ext uri="{FF2B5EF4-FFF2-40B4-BE49-F238E27FC236}">
                <a16:creationId xmlns:a16="http://schemas.microsoft.com/office/drawing/2014/main" id="{D705440A-5204-9405-D88E-B1280D0A64C4}"/>
              </a:ext>
            </a:extLst>
          </xdr:cNvPr>
          <xdr:cNvGrpSpPr/>
        </xdr:nvGrpSpPr>
        <xdr:grpSpPr>
          <a:xfrm>
            <a:off x="7441106" y="2890838"/>
            <a:ext cx="1139825" cy="867125"/>
            <a:chOff x="7519888" y="0"/>
            <a:chExt cx="1142799" cy="870672"/>
          </a:xfrm>
        </xdr:grpSpPr>
        <xdr:sp macro="" textlink="">
          <xdr:nvSpPr>
            <xdr:cNvPr id="824" name="Retângulo 823">
              <a:extLst>
                <a:ext uri="{FF2B5EF4-FFF2-40B4-BE49-F238E27FC236}">
                  <a16:creationId xmlns:a16="http://schemas.microsoft.com/office/drawing/2014/main" id="{0B33B322-6C92-34E0-6990-0A479151CDB2}"/>
                </a:ext>
              </a:extLst>
            </xdr:cNvPr>
            <xdr:cNvSpPr/>
          </xdr:nvSpPr>
          <xdr:spPr>
            <a:xfrm>
              <a:off x="7575848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25" name="CaixaDeTexto 824">
              <a:extLst>
                <a:ext uri="{FF2B5EF4-FFF2-40B4-BE49-F238E27FC236}">
                  <a16:creationId xmlns:a16="http://schemas.microsoft.com/office/drawing/2014/main" id="{80FB8FB9-8373-3951-1341-CC49FAA62430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Gerar</a:t>
              </a:r>
              <a:r>
                <a:rPr lang="pt-BR" sz="1200" baseline="0">
                  <a:solidFill>
                    <a:srgbClr val="151316"/>
                  </a:solidFill>
                </a:rPr>
                <a:t> Diagrama</a:t>
              </a:r>
              <a:endParaRPr lang="pt-BR" sz="1200">
                <a:solidFill>
                  <a:srgbClr val="151316"/>
                </a:solidFill>
              </a:endParaRPr>
            </a:p>
          </xdr:txBody>
        </xdr:sp>
      </xdr:grpSp>
      <xdr:pic>
        <xdr:nvPicPr>
          <xdr:cNvPr id="823" name="Imagem 822">
            <a:extLst>
              <a:ext uri="{FF2B5EF4-FFF2-40B4-BE49-F238E27FC236}">
                <a16:creationId xmlns:a16="http://schemas.microsoft.com/office/drawing/2014/main" id="{B0677CF8-19AF-3ACA-343E-AC5AF74251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55</xdr:row>
      <xdr:rowOff>0</xdr:rowOff>
    </xdr:from>
    <xdr:to>
      <xdr:col>4</xdr:col>
      <xdr:colOff>129210</xdr:colOff>
      <xdr:row>55</xdr:row>
      <xdr:rowOff>861390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D058E19C-CF3E-47CD-80E3-169B1365427F}"/>
            </a:ext>
          </a:extLst>
        </xdr:cNvPr>
        <xdr:cNvSpPr/>
      </xdr:nvSpPr>
      <xdr:spPr>
        <a:xfrm>
          <a:off x="0" y="21254357"/>
          <a:ext cx="2578496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40</xdr:col>
      <xdr:colOff>99274</xdr:colOff>
      <xdr:row>5</xdr:row>
      <xdr:rowOff>107090</xdr:rowOff>
    </xdr:from>
    <xdr:to>
      <xdr:col>41</xdr:col>
      <xdr:colOff>574370</xdr:colOff>
      <xdr:row>6</xdr:row>
      <xdr:rowOff>70012</xdr:rowOff>
    </xdr:to>
    <xdr:grpSp>
      <xdr:nvGrpSpPr>
        <xdr:cNvPr id="749" name="Agrupar 748">
          <a:extLst>
            <a:ext uri="{FF2B5EF4-FFF2-40B4-BE49-F238E27FC236}">
              <a16:creationId xmlns:a16="http://schemas.microsoft.com/office/drawing/2014/main" id="{582ED744-E3BE-4126-BBE8-32251FD61A4D}"/>
            </a:ext>
          </a:extLst>
        </xdr:cNvPr>
        <xdr:cNvGrpSpPr/>
      </xdr:nvGrpSpPr>
      <xdr:grpSpPr>
        <a:xfrm>
          <a:off x="24344729" y="2029408"/>
          <a:ext cx="1081232" cy="828831"/>
          <a:chOff x="8052741" y="2471157"/>
          <a:chExt cx="1082687" cy="863203"/>
        </a:xfrm>
      </xdr:grpSpPr>
      <xdr:grpSp>
        <xdr:nvGrpSpPr>
          <xdr:cNvPr id="750" name="Agrupar 749">
            <a:extLst>
              <a:ext uri="{FF2B5EF4-FFF2-40B4-BE49-F238E27FC236}">
                <a16:creationId xmlns:a16="http://schemas.microsoft.com/office/drawing/2014/main" id="{185EEC5A-AE37-969C-DF2C-FC17F97EF5FC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752" name="Retângulo 751">
              <a:extLst>
                <a:ext uri="{FF2B5EF4-FFF2-40B4-BE49-F238E27FC236}">
                  <a16:creationId xmlns:a16="http://schemas.microsoft.com/office/drawing/2014/main" id="{9C94DB13-A89A-7FCD-F72C-58C92BEE6F7C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15" name="CaixaDeTexto 814">
              <a:extLst>
                <a:ext uri="{FF2B5EF4-FFF2-40B4-BE49-F238E27FC236}">
                  <a16:creationId xmlns:a16="http://schemas.microsoft.com/office/drawing/2014/main" id="{0CCD266A-6F9C-1861-A059-4041F44D3982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Configurações</a:t>
              </a:r>
            </a:p>
          </xdr:txBody>
        </xdr:sp>
      </xdr:grpSp>
      <xdr:pic>
        <xdr:nvPicPr>
          <xdr:cNvPr id="751" name="Imagem 750">
            <a:extLst>
              <a:ext uri="{FF2B5EF4-FFF2-40B4-BE49-F238E27FC236}">
                <a16:creationId xmlns:a16="http://schemas.microsoft.com/office/drawing/2014/main" id="{6608B51D-8D9D-C07E-3752-7CF278888E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42</xdr:col>
      <xdr:colOff>267578</xdr:colOff>
      <xdr:row>5</xdr:row>
      <xdr:rowOff>139960</xdr:rowOff>
    </xdr:from>
    <xdr:to>
      <xdr:col>44</xdr:col>
      <xdr:colOff>82893</xdr:colOff>
      <xdr:row>6</xdr:row>
      <xdr:rowOff>112601</xdr:rowOff>
    </xdr:to>
    <xdr:grpSp>
      <xdr:nvGrpSpPr>
        <xdr:cNvPr id="816" name="Agrupar 815">
          <a:extLst>
            <a:ext uri="{FF2B5EF4-FFF2-40B4-BE49-F238E27FC236}">
              <a16:creationId xmlns:a16="http://schemas.microsoft.com/office/drawing/2014/main" id="{06ADDEF4-D810-4A70-980B-104478D0399E}"/>
            </a:ext>
          </a:extLst>
        </xdr:cNvPr>
        <xdr:cNvGrpSpPr/>
      </xdr:nvGrpSpPr>
      <xdr:grpSpPr>
        <a:xfrm>
          <a:off x="25725305" y="2062278"/>
          <a:ext cx="1027588" cy="838550"/>
          <a:chOff x="7444777" y="0"/>
          <a:chExt cx="1030879" cy="870672"/>
        </a:xfrm>
      </xdr:grpSpPr>
      <xdr:sp macro="" textlink="">
        <xdr:nvSpPr>
          <xdr:cNvPr id="817" name="Retângulo 816">
            <a:extLst>
              <a:ext uri="{FF2B5EF4-FFF2-40B4-BE49-F238E27FC236}">
                <a16:creationId xmlns:a16="http://schemas.microsoft.com/office/drawing/2014/main" id="{0EF0B701-2090-1E2C-7E7B-950C376CE8F0}"/>
              </a:ext>
            </a:extLst>
          </xdr:cNvPr>
          <xdr:cNvSpPr/>
        </xdr:nvSpPr>
        <xdr:spPr>
          <a:xfrm>
            <a:off x="7444777" y="0"/>
            <a:ext cx="1030879" cy="8706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18" name="Imagem 817">
            <a:extLst>
              <a:ext uri="{FF2B5EF4-FFF2-40B4-BE49-F238E27FC236}">
                <a16:creationId xmlns:a16="http://schemas.microsoft.com/office/drawing/2014/main" id="{1043DC99-8B94-9774-C0B2-04C7A753A66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saturation sat="98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69433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819" name="CaixaDeTexto 818">
            <a:extLst>
              <a:ext uri="{FF2B5EF4-FFF2-40B4-BE49-F238E27FC236}">
                <a16:creationId xmlns:a16="http://schemas.microsoft.com/office/drawing/2014/main" id="{5413BAB8-C91F-F913-3D9C-2D59C57380EA}"/>
              </a:ext>
            </a:extLst>
          </xdr:cNvPr>
          <xdr:cNvSpPr txBox="1"/>
        </xdr:nvSpPr>
        <xdr:spPr>
          <a:xfrm>
            <a:off x="7470341" y="528204"/>
            <a:ext cx="980386" cy="2855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rgbClr val="151316"/>
                </a:solidFill>
              </a:rPr>
              <a:t>Barramentos</a:t>
            </a:r>
          </a:p>
        </xdr:txBody>
      </xdr:sp>
    </xdr:grpSp>
    <xdr:clientData fLocksWithSheet="0"/>
  </xdr:twoCellAnchor>
  <xdr:twoCellAnchor editAs="absolute">
    <xdr:from>
      <xdr:col>40</xdr:col>
      <xdr:colOff>0</xdr:colOff>
      <xdr:row>6</xdr:row>
      <xdr:rowOff>200891</xdr:rowOff>
    </xdr:from>
    <xdr:to>
      <xdr:col>42</xdr:col>
      <xdr:colOff>16655</xdr:colOff>
      <xdr:row>10</xdr:row>
      <xdr:rowOff>11607</xdr:rowOff>
    </xdr:to>
    <xdr:grpSp>
      <xdr:nvGrpSpPr>
        <xdr:cNvPr id="826" name="Agrupar 825">
          <a:extLst>
            <a:ext uri="{FF2B5EF4-FFF2-40B4-BE49-F238E27FC236}">
              <a16:creationId xmlns:a16="http://schemas.microsoft.com/office/drawing/2014/main" id="{D371FB08-69A4-4721-AC19-811C114A0557}"/>
            </a:ext>
          </a:extLst>
        </xdr:cNvPr>
        <xdr:cNvGrpSpPr/>
      </xdr:nvGrpSpPr>
      <xdr:grpSpPr>
        <a:xfrm>
          <a:off x="24245455" y="2989118"/>
          <a:ext cx="1228927" cy="867125"/>
          <a:chOff x="10965361" y="1520405"/>
          <a:chExt cx="1231803" cy="863203"/>
        </a:xfrm>
      </xdr:grpSpPr>
      <xdr:grpSp>
        <xdr:nvGrpSpPr>
          <xdr:cNvPr id="827" name="Agrupar 826">
            <a:extLst>
              <a:ext uri="{FF2B5EF4-FFF2-40B4-BE49-F238E27FC236}">
                <a16:creationId xmlns:a16="http://schemas.microsoft.com/office/drawing/2014/main" id="{8EF39555-1089-5F01-3ECB-8B515956D5CB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829" name="Retângulo 828">
              <a:extLst>
                <a:ext uri="{FF2B5EF4-FFF2-40B4-BE49-F238E27FC236}">
                  <a16:creationId xmlns:a16="http://schemas.microsoft.com/office/drawing/2014/main" id="{83E288A4-81CD-D345-5113-D793805C936F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30" name="CaixaDeTexto 829">
              <a:extLst>
                <a:ext uri="{FF2B5EF4-FFF2-40B4-BE49-F238E27FC236}">
                  <a16:creationId xmlns:a16="http://schemas.microsoft.com/office/drawing/2014/main" id="{6DBA8301-F529-906C-BD31-E413CCC7CC09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rgbClr val="151316"/>
                  </a:solidFill>
                </a:rPr>
                <a:t>Transformadores</a:t>
              </a:r>
            </a:p>
          </xdr:txBody>
        </xdr:sp>
      </xdr:grpSp>
      <xdr:pic>
        <xdr:nvPicPr>
          <xdr:cNvPr id="828" name="Imagem 827">
            <a:extLst>
              <a:ext uri="{FF2B5EF4-FFF2-40B4-BE49-F238E27FC236}">
                <a16:creationId xmlns:a16="http://schemas.microsoft.com/office/drawing/2014/main" id="{58F9CB61-5DB0-BAC8-C846-AC8CFBDFD72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42</xdr:col>
      <xdr:colOff>249586</xdr:colOff>
      <xdr:row>6</xdr:row>
      <xdr:rowOff>238991</xdr:rowOff>
    </xdr:from>
    <xdr:to>
      <xdr:col>44</xdr:col>
      <xdr:colOff>67327</xdr:colOff>
      <xdr:row>10</xdr:row>
      <xdr:rowOff>49707</xdr:rowOff>
    </xdr:to>
    <xdr:grpSp>
      <xdr:nvGrpSpPr>
        <xdr:cNvPr id="831" name="Agrupar 830">
          <a:extLst>
            <a:ext uri="{FF2B5EF4-FFF2-40B4-BE49-F238E27FC236}">
              <a16:creationId xmlns:a16="http://schemas.microsoft.com/office/drawing/2014/main" id="{88ECB498-276F-4816-B49B-853EE41F7A47}"/>
            </a:ext>
          </a:extLst>
        </xdr:cNvPr>
        <xdr:cNvGrpSpPr/>
      </xdr:nvGrpSpPr>
      <xdr:grpSpPr>
        <a:xfrm>
          <a:off x="25707313" y="3027218"/>
          <a:ext cx="1030014" cy="867125"/>
          <a:chOff x="10249990" y="1546698"/>
          <a:chExt cx="1026770" cy="863203"/>
        </a:xfrm>
      </xdr:grpSpPr>
      <xdr:grpSp>
        <xdr:nvGrpSpPr>
          <xdr:cNvPr id="832" name="Agrupar 831">
            <a:extLst>
              <a:ext uri="{FF2B5EF4-FFF2-40B4-BE49-F238E27FC236}">
                <a16:creationId xmlns:a16="http://schemas.microsoft.com/office/drawing/2014/main" id="{C7B0056B-469D-4FCE-6D33-A79FADEACEAF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834" name="Retângulo 833">
              <a:extLst>
                <a:ext uri="{FF2B5EF4-FFF2-40B4-BE49-F238E27FC236}">
                  <a16:creationId xmlns:a16="http://schemas.microsoft.com/office/drawing/2014/main" id="{5D2C7015-1F3A-615C-C1EB-AD9F9F5959A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35" name="CaixaDeTexto 834">
              <a:extLst>
                <a:ext uri="{FF2B5EF4-FFF2-40B4-BE49-F238E27FC236}">
                  <a16:creationId xmlns:a16="http://schemas.microsoft.com/office/drawing/2014/main" id="{401100D7-C9B7-2752-A321-FF3EF2D4CF09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Linhas</a:t>
              </a:r>
            </a:p>
          </xdr:txBody>
        </xdr:sp>
      </xdr:grpSp>
      <xdr:pic>
        <xdr:nvPicPr>
          <xdr:cNvPr id="833" name="Imagem 832">
            <a:extLst>
              <a:ext uri="{FF2B5EF4-FFF2-40B4-BE49-F238E27FC236}">
                <a16:creationId xmlns:a16="http://schemas.microsoft.com/office/drawing/2014/main" id="{1C28BDC4-5065-A9A8-A0E7-33CE160CD1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sharpenSoften amoun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44</xdr:col>
      <xdr:colOff>233583</xdr:colOff>
      <xdr:row>5</xdr:row>
      <xdr:rowOff>152400</xdr:rowOff>
    </xdr:from>
    <xdr:to>
      <xdr:col>46</xdr:col>
      <xdr:colOff>53169</xdr:colOff>
      <xdr:row>6</xdr:row>
      <xdr:rowOff>134566</xdr:rowOff>
    </xdr:to>
    <xdr:grpSp>
      <xdr:nvGrpSpPr>
        <xdr:cNvPr id="836" name="Agrupar 835">
          <a:extLst>
            <a:ext uri="{FF2B5EF4-FFF2-40B4-BE49-F238E27FC236}">
              <a16:creationId xmlns:a16="http://schemas.microsoft.com/office/drawing/2014/main" id="{8E752D80-95D0-4021-A0BD-01E226F7D138}"/>
            </a:ext>
          </a:extLst>
        </xdr:cNvPr>
        <xdr:cNvGrpSpPr/>
      </xdr:nvGrpSpPr>
      <xdr:grpSpPr>
        <a:xfrm>
          <a:off x="26903583" y="2074718"/>
          <a:ext cx="1031859" cy="848075"/>
          <a:chOff x="9899139" y="1970356"/>
          <a:chExt cx="1028548" cy="863203"/>
        </a:xfrm>
      </xdr:grpSpPr>
      <xdr:grpSp>
        <xdr:nvGrpSpPr>
          <xdr:cNvPr id="837" name="Agrupar 836">
            <a:extLst>
              <a:ext uri="{FF2B5EF4-FFF2-40B4-BE49-F238E27FC236}">
                <a16:creationId xmlns:a16="http://schemas.microsoft.com/office/drawing/2014/main" id="{3A56D4C5-A024-CBF6-A363-4A40B9A75C3E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839" name="Retângulo 838">
              <a:extLst>
                <a:ext uri="{FF2B5EF4-FFF2-40B4-BE49-F238E27FC236}">
                  <a16:creationId xmlns:a16="http://schemas.microsoft.com/office/drawing/2014/main" id="{2BF8F4A8-2E24-2714-C219-1A6BB8E7329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40" name="CaixaDeTexto 839">
              <a:extLst>
                <a:ext uri="{FF2B5EF4-FFF2-40B4-BE49-F238E27FC236}">
                  <a16:creationId xmlns:a16="http://schemas.microsoft.com/office/drawing/2014/main" id="{4755223D-89D1-6287-115C-8E781FF98436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Geradores</a:t>
              </a:r>
            </a:p>
          </xdr:txBody>
        </xdr:sp>
      </xdr:grpSp>
      <xdr:pic>
        <xdr:nvPicPr>
          <xdr:cNvPr id="838" name="Imagem 837">
            <a:extLst>
              <a:ext uri="{FF2B5EF4-FFF2-40B4-BE49-F238E27FC236}">
                <a16:creationId xmlns:a16="http://schemas.microsoft.com/office/drawing/2014/main" id="{C91211F5-5FC0-2D30-6C3A-511C4A6D0AC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44</xdr:col>
      <xdr:colOff>202973</xdr:colOff>
      <xdr:row>6</xdr:row>
      <xdr:rowOff>219941</xdr:rowOff>
    </xdr:from>
    <xdr:to>
      <xdr:col>46</xdr:col>
      <xdr:colOff>21248</xdr:colOff>
      <xdr:row>10</xdr:row>
      <xdr:rowOff>30657</xdr:rowOff>
    </xdr:to>
    <xdr:grpSp>
      <xdr:nvGrpSpPr>
        <xdr:cNvPr id="841" name="Agrupar 840">
          <a:extLst>
            <a:ext uri="{FF2B5EF4-FFF2-40B4-BE49-F238E27FC236}">
              <a16:creationId xmlns:a16="http://schemas.microsoft.com/office/drawing/2014/main" id="{C0DDD0DB-6FF4-46BB-B9D7-24FE4D95F77B}"/>
            </a:ext>
          </a:extLst>
        </xdr:cNvPr>
        <xdr:cNvGrpSpPr/>
      </xdr:nvGrpSpPr>
      <xdr:grpSpPr>
        <a:xfrm>
          <a:off x="26872973" y="3008168"/>
          <a:ext cx="1030548" cy="867125"/>
          <a:chOff x="10613252" y="3484008"/>
          <a:chExt cx="1034639" cy="863203"/>
        </a:xfrm>
      </xdr:grpSpPr>
      <xdr:grpSp>
        <xdr:nvGrpSpPr>
          <xdr:cNvPr id="842" name="Agrupar 841">
            <a:extLst>
              <a:ext uri="{FF2B5EF4-FFF2-40B4-BE49-F238E27FC236}">
                <a16:creationId xmlns:a16="http://schemas.microsoft.com/office/drawing/2014/main" id="{82D718CD-6311-EF3E-F57B-3E55D70B07B2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844" name="Retângulo 843">
              <a:extLst>
                <a:ext uri="{FF2B5EF4-FFF2-40B4-BE49-F238E27FC236}">
                  <a16:creationId xmlns:a16="http://schemas.microsoft.com/office/drawing/2014/main" id="{43EFC40F-C9A2-155D-876B-08EBD351B5BA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45" name="CaixaDeTexto 844">
              <a:extLst>
                <a:ext uri="{FF2B5EF4-FFF2-40B4-BE49-F238E27FC236}">
                  <a16:creationId xmlns:a16="http://schemas.microsoft.com/office/drawing/2014/main" id="{D8D5198C-41C8-7DFC-2607-639FFFC2EB97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Motores</a:t>
              </a:r>
            </a:p>
          </xdr:txBody>
        </xdr:sp>
      </xdr:grpSp>
      <xdr:pic>
        <xdr:nvPicPr>
          <xdr:cNvPr id="843" name="Imagem 842">
            <a:extLst>
              <a:ext uri="{FF2B5EF4-FFF2-40B4-BE49-F238E27FC236}">
                <a16:creationId xmlns:a16="http://schemas.microsoft.com/office/drawing/2014/main" id="{A0684431-D68B-18CB-9BB7-8A3755A5BFB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46</xdr:col>
      <xdr:colOff>63679</xdr:colOff>
      <xdr:row>5</xdr:row>
      <xdr:rowOff>133350</xdr:rowOff>
    </xdr:from>
    <xdr:to>
      <xdr:col>47</xdr:col>
      <xdr:colOff>490868</xdr:colOff>
      <xdr:row>6</xdr:row>
      <xdr:rowOff>115516</xdr:rowOff>
    </xdr:to>
    <xdr:grpSp>
      <xdr:nvGrpSpPr>
        <xdr:cNvPr id="846" name="Agrupar 845">
          <a:extLst>
            <a:ext uri="{FF2B5EF4-FFF2-40B4-BE49-F238E27FC236}">
              <a16:creationId xmlns:a16="http://schemas.microsoft.com/office/drawing/2014/main" id="{5889DDE6-D209-41D4-82FC-E96D6F9D9359}"/>
            </a:ext>
          </a:extLst>
        </xdr:cNvPr>
        <xdr:cNvGrpSpPr/>
      </xdr:nvGrpSpPr>
      <xdr:grpSpPr>
        <a:xfrm>
          <a:off x="27945952" y="2055668"/>
          <a:ext cx="1033325" cy="848075"/>
          <a:chOff x="10744060" y="2050831"/>
          <a:chExt cx="1032640" cy="863203"/>
        </a:xfrm>
      </xdr:grpSpPr>
      <xdr:grpSp>
        <xdr:nvGrpSpPr>
          <xdr:cNvPr id="847" name="Agrupar 846">
            <a:extLst>
              <a:ext uri="{FF2B5EF4-FFF2-40B4-BE49-F238E27FC236}">
                <a16:creationId xmlns:a16="http://schemas.microsoft.com/office/drawing/2014/main" id="{1974C9A3-B291-4A25-8B32-A5C959D4EE65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849" name="Retângulo 848">
              <a:extLst>
                <a:ext uri="{FF2B5EF4-FFF2-40B4-BE49-F238E27FC236}">
                  <a16:creationId xmlns:a16="http://schemas.microsoft.com/office/drawing/2014/main" id="{6767F8BD-C463-12C4-B163-960BAD8212B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50" name="CaixaDeTexto 849">
              <a:extLst>
                <a:ext uri="{FF2B5EF4-FFF2-40B4-BE49-F238E27FC236}">
                  <a16:creationId xmlns:a16="http://schemas.microsoft.com/office/drawing/2014/main" id="{2410B23D-1343-CFEA-C631-9234F4EEAF0D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(+) (-)</a:t>
              </a:r>
            </a:p>
          </xdr:txBody>
        </xdr:sp>
      </xdr:grpSp>
      <xdr:pic>
        <xdr:nvPicPr>
          <xdr:cNvPr id="848" name="Imagem 847">
            <a:extLst>
              <a:ext uri="{FF2B5EF4-FFF2-40B4-BE49-F238E27FC236}">
                <a16:creationId xmlns:a16="http://schemas.microsoft.com/office/drawing/2014/main" id="{F46BC012-1E76-6E35-BDEF-0C028257DF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46</xdr:col>
      <xdr:colOff>44629</xdr:colOff>
      <xdr:row>6</xdr:row>
      <xdr:rowOff>153266</xdr:rowOff>
    </xdr:from>
    <xdr:to>
      <xdr:col>47</xdr:col>
      <xdr:colOff>471818</xdr:colOff>
      <xdr:row>9</xdr:row>
      <xdr:rowOff>154482</xdr:rowOff>
    </xdr:to>
    <xdr:grpSp>
      <xdr:nvGrpSpPr>
        <xdr:cNvPr id="851" name="Agrupar 850">
          <a:extLst>
            <a:ext uri="{FF2B5EF4-FFF2-40B4-BE49-F238E27FC236}">
              <a16:creationId xmlns:a16="http://schemas.microsoft.com/office/drawing/2014/main" id="{4792E5A2-1D84-4331-A131-26F57838F6A1}"/>
            </a:ext>
          </a:extLst>
        </xdr:cNvPr>
        <xdr:cNvGrpSpPr/>
      </xdr:nvGrpSpPr>
      <xdr:grpSpPr>
        <a:xfrm>
          <a:off x="27926902" y="2941493"/>
          <a:ext cx="1033325" cy="867125"/>
          <a:chOff x="10744060" y="2050831"/>
          <a:chExt cx="1032640" cy="863203"/>
        </a:xfrm>
      </xdr:grpSpPr>
      <xdr:grpSp>
        <xdr:nvGrpSpPr>
          <xdr:cNvPr id="852" name="Agrupar 851">
            <a:extLst>
              <a:ext uri="{FF2B5EF4-FFF2-40B4-BE49-F238E27FC236}">
                <a16:creationId xmlns:a16="http://schemas.microsoft.com/office/drawing/2014/main" id="{4C36ABD9-CF60-ABCE-01CE-424D6A7C9FC7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854" name="Retângulo 853">
              <a:extLst>
                <a:ext uri="{FF2B5EF4-FFF2-40B4-BE49-F238E27FC236}">
                  <a16:creationId xmlns:a16="http://schemas.microsoft.com/office/drawing/2014/main" id="{667C2375-F5DA-32FA-BC01-27C3CA0FDA4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55" name="CaixaDeTexto 854">
              <a:extLst>
                <a:ext uri="{FF2B5EF4-FFF2-40B4-BE49-F238E27FC236}">
                  <a16:creationId xmlns:a16="http://schemas.microsoft.com/office/drawing/2014/main" id="{BB3BCB65-E3F1-A787-9B13-456A9DE300A2}"/>
                </a:ext>
              </a:extLst>
            </xdr:cNvPr>
            <xdr:cNvSpPr txBox="1"/>
          </xdr:nvSpPr>
          <xdr:spPr>
            <a:xfrm>
              <a:off x="7532260" y="528204"/>
              <a:ext cx="983705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(+) (-)</a:t>
              </a:r>
            </a:p>
          </xdr:txBody>
        </xdr:sp>
      </xdr:grpSp>
      <xdr:pic>
        <xdr:nvPicPr>
          <xdr:cNvPr id="853" name="Imagem 852">
            <a:extLst>
              <a:ext uri="{FF2B5EF4-FFF2-40B4-BE49-F238E27FC236}">
                <a16:creationId xmlns:a16="http://schemas.microsoft.com/office/drawing/2014/main" id="{D23571EC-0731-F1BE-2206-15E3C66A3C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48</xdr:col>
      <xdr:colOff>19846</xdr:colOff>
      <xdr:row>5</xdr:row>
      <xdr:rowOff>66675</xdr:rowOff>
    </xdr:from>
    <xdr:to>
      <xdr:col>49</xdr:col>
      <xdr:colOff>440408</xdr:colOff>
      <xdr:row>6</xdr:row>
      <xdr:rowOff>39316</xdr:rowOff>
    </xdr:to>
    <xdr:grpSp>
      <xdr:nvGrpSpPr>
        <xdr:cNvPr id="856" name="Agrupar 855">
          <a:extLst>
            <a:ext uri="{FF2B5EF4-FFF2-40B4-BE49-F238E27FC236}">
              <a16:creationId xmlns:a16="http://schemas.microsoft.com/office/drawing/2014/main" id="{EC6D086B-D4FC-4B17-85F3-35C47EFCDD92}"/>
            </a:ext>
          </a:extLst>
        </xdr:cNvPr>
        <xdr:cNvGrpSpPr/>
      </xdr:nvGrpSpPr>
      <xdr:grpSpPr>
        <a:xfrm>
          <a:off x="29114391" y="1988993"/>
          <a:ext cx="1026699" cy="838550"/>
          <a:chOff x="10666547" y="1933904"/>
          <a:chExt cx="1032640" cy="863203"/>
        </a:xfrm>
      </xdr:grpSpPr>
      <xdr:grpSp>
        <xdr:nvGrpSpPr>
          <xdr:cNvPr id="857" name="Agrupar 856">
            <a:extLst>
              <a:ext uri="{FF2B5EF4-FFF2-40B4-BE49-F238E27FC236}">
                <a16:creationId xmlns:a16="http://schemas.microsoft.com/office/drawing/2014/main" id="{D423F639-2485-6D24-E68D-F33D6618B262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859" name="Retângulo 858">
              <a:extLst>
                <a:ext uri="{FF2B5EF4-FFF2-40B4-BE49-F238E27FC236}">
                  <a16:creationId xmlns:a16="http://schemas.microsoft.com/office/drawing/2014/main" id="{AFE7EF06-DCA1-77A3-F05F-2A85F3F226F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60" name="CaixaDeTexto 859">
              <a:extLst>
                <a:ext uri="{FF2B5EF4-FFF2-40B4-BE49-F238E27FC236}">
                  <a16:creationId xmlns:a16="http://schemas.microsoft.com/office/drawing/2014/main" id="{59B5B77E-64D8-87F3-EA7F-F563DB2EF805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(0)</a:t>
              </a:r>
            </a:p>
          </xdr:txBody>
        </xdr:sp>
      </xdr:grpSp>
      <xdr:pic>
        <xdr:nvPicPr>
          <xdr:cNvPr id="858" name="Imagem 857">
            <a:extLst>
              <a:ext uri="{FF2B5EF4-FFF2-40B4-BE49-F238E27FC236}">
                <a16:creationId xmlns:a16="http://schemas.microsoft.com/office/drawing/2014/main" id="{F484765B-78AD-B0BE-E497-8F396545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48</xdr:col>
      <xdr:colOff>796</xdr:colOff>
      <xdr:row>6</xdr:row>
      <xdr:rowOff>153266</xdr:rowOff>
    </xdr:from>
    <xdr:to>
      <xdr:col>49</xdr:col>
      <xdr:colOff>421358</xdr:colOff>
      <xdr:row>9</xdr:row>
      <xdr:rowOff>154482</xdr:rowOff>
    </xdr:to>
    <xdr:grpSp>
      <xdr:nvGrpSpPr>
        <xdr:cNvPr id="861" name="Agrupar 860">
          <a:extLst>
            <a:ext uri="{FF2B5EF4-FFF2-40B4-BE49-F238E27FC236}">
              <a16:creationId xmlns:a16="http://schemas.microsoft.com/office/drawing/2014/main" id="{72639E8A-6CAD-45DB-B83C-60AD8B999D03}"/>
            </a:ext>
          </a:extLst>
        </xdr:cNvPr>
        <xdr:cNvGrpSpPr/>
      </xdr:nvGrpSpPr>
      <xdr:grpSpPr>
        <a:xfrm>
          <a:off x="29095341" y="2941493"/>
          <a:ext cx="1026699" cy="867125"/>
          <a:chOff x="10666547" y="1933904"/>
          <a:chExt cx="1032640" cy="863203"/>
        </a:xfrm>
      </xdr:grpSpPr>
      <xdr:grpSp>
        <xdr:nvGrpSpPr>
          <xdr:cNvPr id="862" name="Agrupar 861">
            <a:extLst>
              <a:ext uri="{FF2B5EF4-FFF2-40B4-BE49-F238E27FC236}">
                <a16:creationId xmlns:a16="http://schemas.microsoft.com/office/drawing/2014/main" id="{8C2E4171-590A-3049-033F-7F097EEE58B7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864" name="Retângulo 863">
              <a:extLst>
                <a:ext uri="{FF2B5EF4-FFF2-40B4-BE49-F238E27FC236}">
                  <a16:creationId xmlns:a16="http://schemas.microsoft.com/office/drawing/2014/main" id="{BE189E50-E1BE-DA40-FE6D-24AAA2F3AD8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65" name="CaixaDeTexto 864">
              <a:extLst>
                <a:ext uri="{FF2B5EF4-FFF2-40B4-BE49-F238E27FC236}">
                  <a16:creationId xmlns:a16="http://schemas.microsoft.com/office/drawing/2014/main" id="{22CF4DF5-45D4-65DB-B062-7A6D3ACF7C0D}"/>
                </a:ext>
              </a:extLst>
            </xdr:cNvPr>
            <xdr:cNvSpPr txBox="1"/>
          </xdr:nvSpPr>
          <xdr:spPr>
            <a:xfrm>
              <a:off x="7616883" y="528204"/>
              <a:ext cx="819830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(0)</a:t>
              </a:r>
            </a:p>
          </xdr:txBody>
        </xdr:sp>
      </xdr:grpSp>
      <xdr:pic>
        <xdr:nvPicPr>
          <xdr:cNvPr id="863" name="Imagem 862">
            <a:extLst>
              <a:ext uri="{FF2B5EF4-FFF2-40B4-BE49-F238E27FC236}">
                <a16:creationId xmlns:a16="http://schemas.microsoft.com/office/drawing/2014/main" id="{022B8717-2B52-DEC5-CE63-321B6D1A1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49</xdr:col>
      <xdr:colOff>545632</xdr:colOff>
      <xdr:row>5</xdr:row>
      <xdr:rowOff>0</xdr:rowOff>
    </xdr:from>
    <xdr:to>
      <xdr:col>51</xdr:col>
      <xdr:colOff>374506</xdr:colOff>
      <xdr:row>5</xdr:row>
      <xdr:rowOff>838550</xdr:rowOff>
    </xdr:to>
    <xdr:grpSp>
      <xdr:nvGrpSpPr>
        <xdr:cNvPr id="866" name="Agrupar 865">
          <a:extLst>
            <a:ext uri="{FF2B5EF4-FFF2-40B4-BE49-F238E27FC236}">
              <a16:creationId xmlns:a16="http://schemas.microsoft.com/office/drawing/2014/main" id="{A31ACD2B-F8BA-4D38-AFAE-9E31AB50165A}"/>
            </a:ext>
          </a:extLst>
        </xdr:cNvPr>
        <xdr:cNvGrpSpPr/>
      </xdr:nvGrpSpPr>
      <xdr:grpSpPr>
        <a:xfrm>
          <a:off x="30246314" y="1922318"/>
          <a:ext cx="1041147" cy="838550"/>
          <a:chOff x="7623418" y="2467632"/>
          <a:chExt cx="1034665" cy="863203"/>
        </a:xfrm>
      </xdr:grpSpPr>
      <xdr:grpSp>
        <xdr:nvGrpSpPr>
          <xdr:cNvPr id="867" name="Agrupar 866">
            <a:extLst>
              <a:ext uri="{FF2B5EF4-FFF2-40B4-BE49-F238E27FC236}">
                <a16:creationId xmlns:a16="http://schemas.microsoft.com/office/drawing/2014/main" id="{B64A77C1-EDB2-7DEF-27DA-2525CA1CAFD9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869" name="Retângulo 868">
              <a:extLst>
                <a:ext uri="{FF2B5EF4-FFF2-40B4-BE49-F238E27FC236}">
                  <a16:creationId xmlns:a16="http://schemas.microsoft.com/office/drawing/2014/main" id="{01E3FE0A-1B78-7342-E367-CA9D2C2E46EC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70" name="CaixaDeTexto 869">
              <a:extLst>
                <a:ext uri="{FF2B5EF4-FFF2-40B4-BE49-F238E27FC236}">
                  <a16:creationId xmlns:a16="http://schemas.microsoft.com/office/drawing/2014/main" id="{44DBBCF1-9C17-D1B0-0D24-BA0FDF4AA67A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Relatório</a:t>
              </a:r>
            </a:p>
          </xdr:txBody>
        </xdr:sp>
      </xdr:grpSp>
      <xdr:pic>
        <xdr:nvPicPr>
          <xdr:cNvPr id="868" name="Imagem 867">
            <a:extLst>
              <a:ext uri="{FF2B5EF4-FFF2-40B4-BE49-F238E27FC236}">
                <a16:creationId xmlns:a16="http://schemas.microsoft.com/office/drawing/2014/main" id="{97D7EED0-337C-23A3-727C-70951D16C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49</xdr:col>
      <xdr:colOff>581464</xdr:colOff>
      <xdr:row>6</xdr:row>
      <xdr:rowOff>49941</xdr:rowOff>
    </xdr:from>
    <xdr:to>
      <xdr:col>51</xdr:col>
      <xdr:colOff>513778</xdr:colOff>
      <xdr:row>9</xdr:row>
      <xdr:rowOff>51157</xdr:rowOff>
    </xdr:to>
    <xdr:grpSp>
      <xdr:nvGrpSpPr>
        <xdr:cNvPr id="871" name="Agrupar 870">
          <a:extLst>
            <a:ext uri="{FF2B5EF4-FFF2-40B4-BE49-F238E27FC236}">
              <a16:creationId xmlns:a16="http://schemas.microsoft.com/office/drawing/2014/main" id="{759DE86E-D74C-46A8-BA40-1CBFA122D837}"/>
            </a:ext>
          </a:extLst>
        </xdr:cNvPr>
        <xdr:cNvGrpSpPr/>
      </xdr:nvGrpSpPr>
      <xdr:grpSpPr>
        <a:xfrm>
          <a:off x="30282146" y="2838168"/>
          <a:ext cx="1144587" cy="867125"/>
          <a:chOff x="7441106" y="2890838"/>
          <a:chExt cx="1139825" cy="867125"/>
        </a:xfrm>
      </xdr:grpSpPr>
      <xdr:grpSp>
        <xdr:nvGrpSpPr>
          <xdr:cNvPr id="872" name="Agrupar 871">
            <a:extLst>
              <a:ext uri="{FF2B5EF4-FFF2-40B4-BE49-F238E27FC236}">
                <a16:creationId xmlns:a16="http://schemas.microsoft.com/office/drawing/2014/main" id="{3FCDC9DD-CF9F-515C-5082-360623A3A5A3}"/>
              </a:ext>
            </a:extLst>
          </xdr:cNvPr>
          <xdr:cNvGrpSpPr/>
        </xdr:nvGrpSpPr>
        <xdr:grpSpPr>
          <a:xfrm>
            <a:off x="7441106" y="2890838"/>
            <a:ext cx="1139825" cy="867125"/>
            <a:chOff x="7519888" y="0"/>
            <a:chExt cx="1142799" cy="870672"/>
          </a:xfrm>
        </xdr:grpSpPr>
        <xdr:sp macro="" textlink="">
          <xdr:nvSpPr>
            <xdr:cNvPr id="874" name="Retângulo 873">
              <a:extLst>
                <a:ext uri="{FF2B5EF4-FFF2-40B4-BE49-F238E27FC236}">
                  <a16:creationId xmlns:a16="http://schemas.microsoft.com/office/drawing/2014/main" id="{C19A0C9C-0B7E-97A9-48E8-C0B77CFF77CA}"/>
                </a:ext>
              </a:extLst>
            </xdr:cNvPr>
            <xdr:cNvSpPr/>
          </xdr:nvSpPr>
          <xdr:spPr>
            <a:xfrm>
              <a:off x="7575848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75" name="CaixaDeTexto 874">
              <a:extLst>
                <a:ext uri="{FF2B5EF4-FFF2-40B4-BE49-F238E27FC236}">
                  <a16:creationId xmlns:a16="http://schemas.microsoft.com/office/drawing/2014/main" id="{62CB6575-0DB5-FA44-BD5E-DDB2461D7724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Gerar</a:t>
              </a:r>
              <a:r>
                <a:rPr lang="pt-BR" sz="1200" baseline="0">
                  <a:solidFill>
                    <a:srgbClr val="151316"/>
                  </a:solidFill>
                </a:rPr>
                <a:t> Diagrama</a:t>
              </a:r>
              <a:endParaRPr lang="pt-BR" sz="1200">
                <a:solidFill>
                  <a:srgbClr val="151316"/>
                </a:solidFill>
              </a:endParaRPr>
            </a:p>
          </xdr:txBody>
        </xdr:sp>
      </xdr:grpSp>
      <xdr:pic>
        <xdr:nvPicPr>
          <xdr:cNvPr id="873" name="Imagem 872">
            <a:extLst>
              <a:ext uri="{FF2B5EF4-FFF2-40B4-BE49-F238E27FC236}">
                <a16:creationId xmlns:a16="http://schemas.microsoft.com/office/drawing/2014/main" id="{A265CAB6-02E3-DBD2-75AB-01BAF87A2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129210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41EB206-E057-4EC5-A2DF-E3ED35C5F81C}"/>
            </a:ext>
          </a:extLst>
        </xdr:cNvPr>
        <xdr:cNvSpPr/>
      </xdr:nvSpPr>
      <xdr:spPr>
        <a:xfrm>
          <a:off x="0" y="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152687</xdr:colOff>
      <xdr:row>0</xdr:row>
      <xdr:rowOff>44868</xdr:rowOff>
    </xdr:from>
    <xdr:to>
      <xdr:col>1</xdr:col>
      <xdr:colOff>198951</xdr:colOff>
      <xdr:row>0</xdr:row>
      <xdr:rowOff>744273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761E2013-800F-4F12-A2FC-04D4651D0255}"/>
            </a:ext>
          </a:extLst>
        </xdr:cNvPr>
        <xdr:cNvSpPr>
          <a:spLocks noChangeAspect="1"/>
        </xdr:cNvSpPr>
      </xdr:nvSpPr>
      <xdr:spPr>
        <a:xfrm rot="21430735">
          <a:off x="152687" y="44868"/>
          <a:ext cx="655864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195056</xdr:colOff>
      <xdr:row>0</xdr:row>
      <xdr:rowOff>88624</xdr:rowOff>
    </xdr:from>
    <xdr:to>
      <xdr:col>10</xdr:col>
      <xdr:colOff>65546</xdr:colOff>
      <xdr:row>0</xdr:row>
      <xdr:rowOff>681863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1F12F6E-F2AA-433E-9E84-6CAF954C3CA5}"/>
            </a:ext>
          </a:extLst>
        </xdr:cNvPr>
        <xdr:cNvSpPr txBox="1">
          <a:spLocks noChangeAspect="1"/>
        </xdr:cNvSpPr>
      </xdr:nvSpPr>
      <xdr:spPr>
        <a:xfrm>
          <a:off x="804656" y="88624"/>
          <a:ext cx="5356890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Ferramenta de Análise de Curto</a:t>
          </a:r>
        </a:p>
      </xdr:txBody>
    </xdr:sp>
    <xdr:clientData/>
  </xdr:twoCellAnchor>
  <xdr:oneCellAnchor>
    <xdr:from>
      <xdr:col>10</xdr:col>
      <xdr:colOff>427654</xdr:colOff>
      <xdr:row>1</xdr:row>
      <xdr:rowOff>9720</xdr:rowOff>
    </xdr:from>
    <xdr:ext cx="4741170" cy="483722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8CB99250-0C9E-4149-A5E4-D7C40EB0EB1D}"/>
            </a:ext>
          </a:extLst>
        </xdr:cNvPr>
        <xdr:cNvSpPr txBox="1"/>
      </xdr:nvSpPr>
      <xdr:spPr>
        <a:xfrm>
          <a:off x="6523654" y="876495"/>
          <a:ext cx="4741170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Configurações Gerais da Simulação</a:t>
          </a:r>
        </a:p>
      </xdr:txBody>
    </xdr:sp>
    <xdr:clientData/>
  </xdr:oneCellAnchor>
  <xdr:twoCellAnchor editAs="absolute">
    <xdr:from>
      <xdr:col>31</xdr:col>
      <xdr:colOff>566778</xdr:colOff>
      <xdr:row>4</xdr:row>
      <xdr:rowOff>170352</xdr:rowOff>
    </xdr:from>
    <xdr:to>
      <xdr:col>33</xdr:col>
      <xdr:colOff>428810</xdr:colOff>
      <xdr:row>8</xdr:row>
      <xdr:rowOff>239424</xdr:rowOff>
    </xdr:to>
    <xdr:grpSp>
      <xdr:nvGrpSpPr>
        <xdr:cNvPr id="6" name="Agrupar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0FD6FA-1B79-406A-89CF-4E422D0E8260}"/>
            </a:ext>
          </a:extLst>
        </xdr:cNvPr>
        <xdr:cNvGrpSpPr/>
      </xdr:nvGrpSpPr>
      <xdr:grpSpPr>
        <a:xfrm>
          <a:off x="19390559" y="1908665"/>
          <a:ext cx="1076470" cy="831072"/>
          <a:chOff x="8052741" y="2471157"/>
          <a:chExt cx="1082687" cy="863203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5E3E3A12-CF0C-0664-37E1-5DB58A5CDB84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1DC98F6D-5EE0-31E5-470E-C9E73F2C4949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1D95196D-FA7C-59F9-050D-C6A26537A81C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Configurações</a:t>
              </a:r>
            </a:p>
          </xdr:txBody>
        </xdr:sp>
      </xdr:grp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E1EBA4BA-64F3-DAE5-3996-AF936AE74B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22</xdr:col>
      <xdr:colOff>553954</xdr:colOff>
      <xdr:row>6</xdr:row>
      <xdr:rowOff>6610</xdr:rowOff>
    </xdr:from>
    <xdr:to>
      <xdr:col>24</xdr:col>
      <xdr:colOff>362342</xdr:colOff>
      <xdr:row>10</xdr:row>
      <xdr:rowOff>6960</xdr:rowOff>
    </xdr:to>
    <xdr:grpSp>
      <xdr:nvGrpSpPr>
        <xdr:cNvPr id="11" name="Agrupar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5408E7-3CBA-47BF-B4E3-52F218CA1F1C}"/>
            </a:ext>
          </a:extLst>
        </xdr:cNvPr>
        <xdr:cNvGrpSpPr/>
      </xdr:nvGrpSpPr>
      <xdr:grpSpPr>
        <a:xfrm>
          <a:off x="13912767" y="2125923"/>
          <a:ext cx="1022825" cy="839740"/>
          <a:chOff x="7444777" y="0"/>
          <a:chExt cx="1030879" cy="870672"/>
        </a:xfrm>
      </xdr:grpSpPr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F5A02122-8433-95ED-B3EF-0CD4B275738F}"/>
              </a:ext>
            </a:extLst>
          </xdr:cNvPr>
          <xdr:cNvSpPr/>
        </xdr:nvSpPr>
        <xdr:spPr>
          <a:xfrm>
            <a:off x="7444777" y="0"/>
            <a:ext cx="1030879" cy="8706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D94810A0-26AE-AAA8-950B-209BA432C97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saturation sat="98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69433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16ABDF7A-DAD0-EF0B-9C93-A58B93D7CC8D}"/>
              </a:ext>
            </a:extLst>
          </xdr:cNvPr>
          <xdr:cNvSpPr txBox="1"/>
        </xdr:nvSpPr>
        <xdr:spPr>
          <a:xfrm>
            <a:off x="7470341" y="528204"/>
            <a:ext cx="980386" cy="2855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rgbClr val="151316"/>
                </a:solidFill>
              </a:rPr>
              <a:t>Barramentos</a:t>
            </a:r>
          </a:p>
        </xdr:txBody>
      </xdr:sp>
    </xdr:grpSp>
    <xdr:clientData fLocksWithSheet="0"/>
  </xdr:twoCellAnchor>
  <xdr:twoCellAnchor editAs="absolute">
    <xdr:from>
      <xdr:col>31</xdr:col>
      <xdr:colOff>517422</xdr:colOff>
      <xdr:row>9</xdr:row>
      <xdr:rowOff>84044</xdr:rowOff>
    </xdr:from>
    <xdr:to>
      <xdr:col>33</xdr:col>
      <xdr:colOff>527149</xdr:colOff>
      <xdr:row>13</xdr:row>
      <xdr:rowOff>36769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9877B27-2B4B-405E-B01C-868B4597DB36}"/>
            </a:ext>
          </a:extLst>
        </xdr:cNvPr>
        <xdr:cNvGrpSpPr/>
      </xdr:nvGrpSpPr>
      <xdr:grpSpPr>
        <a:xfrm>
          <a:off x="19341203" y="2852247"/>
          <a:ext cx="1224165" cy="869506"/>
          <a:chOff x="10965361" y="1520405"/>
          <a:chExt cx="1231803" cy="863203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76638207-2D70-9AE3-E9D0-7070DD2CE638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AB31A863-A9EB-BBD4-A723-14FA7EAD66C8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A8E1FEA2-E152-CB0D-1457-5704CFFC40C5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rgbClr val="151316"/>
                  </a:solidFill>
                </a:rPr>
                <a:t>Transformadores</a:t>
              </a:r>
            </a:p>
          </xdr:txBody>
        </xdr:sp>
      </xdr:grp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E126DF11-42A3-FC79-2250-0063AD4F726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19</xdr:col>
      <xdr:colOff>53753</xdr:colOff>
      <xdr:row>15</xdr:row>
      <xdr:rowOff>180118</xdr:rowOff>
    </xdr:from>
    <xdr:to>
      <xdr:col>19</xdr:col>
      <xdr:colOff>540976</xdr:colOff>
      <xdr:row>18</xdr:row>
      <xdr:rowOff>21386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303C7FE-FF79-0472-4D5C-1627D6113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harpenSoften amoun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6153" y="4311247"/>
          <a:ext cx="487223" cy="488968"/>
        </a:xfrm>
        <a:prstGeom prst="rect">
          <a:avLst/>
        </a:prstGeom>
      </xdr:spPr>
    </xdr:pic>
    <xdr:clientData fLocksWithSheet="0"/>
  </xdr:twoCellAnchor>
  <xdr:twoCellAnchor editAs="absolute">
    <xdr:from>
      <xdr:col>24</xdr:col>
      <xdr:colOff>513032</xdr:colOff>
      <xdr:row>6</xdr:row>
      <xdr:rowOff>19050</xdr:rowOff>
    </xdr:from>
    <xdr:to>
      <xdr:col>26</xdr:col>
      <xdr:colOff>325691</xdr:colOff>
      <xdr:row>10</xdr:row>
      <xdr:rowOff>28925</xdr:rowOff>
    </xdr:to>
    <xdr:grpSp>
      <xdr:nvGrpSpPr>
        <xdr:cNvPr id="25" name="Agrupar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5E095D8-D192-46EC-B39E-D5F26507CD90}"/>
            </a:ext>
          </a:extLst>
        </xdr:cNvPr>
        <xdr:cNvGrpSpPr/>
      </xdr:nvGrpSpPr>
      <xdr:grpSpPr>
        <a:xfrm>
          <a:off x="15086282" y="2138363"/>
          <a:ext cx="1027097" cy="849265"/>
          <a:chOff x="9899139" y="1970356"/>
          <a:chExt cx="1028548" cy="863203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C20C3CE-D03A-36AD-CFC0-CDBC40B3A656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1916981F-ECF7-B1C4-E507-A1F135A9464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A3F9E7DA-A38D-0219-9A7E-DA292A511181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Geradores</a:t>
              </a:r>
            </a:p>
          </xdr:txBody>
        </xdr:sp>
      </xdr:grpSp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E24F8113-31BE-7316-0BE6-5B7B26A6659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24</xdr:col>
      <xdr:colOff>482422</xdr:colOff>
      <xdr:row>10</xdr:row>
      <xdr:rowOff>114300</xdr:rowOff>
    </xdr:from>
    <xdr:to>
      <xdr:col>26</xdr:col>
      <xdr:colOff>293770</xdr:colOff>
      <xdr:row>14</xdr:row>
      <xdr:rowOff>67025</xdr:rowOff>
    </xdr:to>
    <xdr:grpSp>
      <xdr:nvGrpSpPr>
        <xdr:cNvPr id="30" name="Agrupar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640DF85-D932-4915-B12F-CCAA0D9622D8}"/>
            </a:ext>
          </a:extLst>
        </xdr:cNvPr>
        <xdr:cNvGrpSpPr/>
      </xdr:nvGrpSpPr>
      <xdr:grpSpPr>
        <a:xfrm>
          <a:off x="15055672" y="3073003"/>
          <a:ext cx="1025786" cy="869506"/>
          <a:chOff x="10613252" y="3484008"/>
          <a:chExt cx="1034639" cy="863203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BAC8FEB7-EE69-2767-117F-5E5F7F18D895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33" name="Retângulo 32">
              <a:extLst>
                <a:ext uri="{FF2B5EF4-FFF2-40B4-BE49-F238E27FC236}">
                  <a16:creationId xmlns:a16="http://schemas.microsoft.com/office/drawing/2014/main" id="{A6439F3F-69CA-D2CA-93F4-A2CFD352472D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4" name="CaixaDeTexto 33">
              <a:extLst>
                <a:ext uri="{FF2B5EF4-FFF2-40B4-BE49-F238E27FC236}">
                  <a16:creationId xmlns:a16="http://schemas.microsoft.com/office/drawing/2014/main" id="{DAD51C9B-11A5-052D-A168-6F3C69B20087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Motores</a:t>
              </a:r>
            </a:p>
          </xdr:txBody>
        </xdr:sp>
      </xdr:grpSp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CB0640A-D8CA-2790-4029-29B86F91907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26</xdr:col>
      <xdr:colOff>336201</xdr:colOff>
      <xdr:row>6</xdr:row>
      <xdr:rowOff>0</xdr:rowOff>
    </xdr:from>
    <xdr:to>
      <xdr:col>28</xdr:col>
      <xdr:colOff>150326</xdr:colOff>
      <xdr:row>10</xdr:row>
      <xdr:rowOff>9875</xdr:rowOff>
    </xdr:to>
    <xdr:grpSp>
      <xdr:nvGrpSpPr>
        <xdr:cNvPr id="35" name="Agrupar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F6A544A-0ECA-424A-B7EF-57D54A8AE2EE}"/>
            </a:ext>
          </a:extLst>
        </xdr:cNvPr>
        <xdr:cNvGrpSpPr/>
      </xdr:nvGrpSpPr>
      <xdr:grpSpPr>
        <a:xfrm>
          <a:off x="16123889" y="2119313"/>
          <a:ext cx="1028562" cy="849265"/>
          <a:chOff x="10744060" y="2050831"/>
          <a:chExt cx="1032640" cy="863203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2A6BC8FA-6EF9-F57F-7B55-B1A98819B76F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DF1ABEB0-8A1B-FA7F-C9A1-9F012C1C2F4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ECD77FF0-7EF2-B5D5-15B2-6DAE9368EF4D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(+) (-)</a:t>
              </a:r>
            </a:p>
          </xdr:txBody>
        </xdr:sp>
      </xdr:grp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2430239-14DD-4ABE-74AF-F2A1F11C9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26</xdr:col>
      <xdr:colOff>317151</xdr:colOff>
      <xdr:row>10</xdr:row>
      <xdr:rowOff>47625</xdr:rowOff>
    </xdr:from>
    <xdr:to>
      <xdr:col>28</xdr:col>
      <xdr:colOff>131276</xdr:colOff>
      <xdr:row>14</xdr:row>
      <xdr:rowOff>350</xdr:rowOff>
    </xdr:to>
    <xdr:grpSp>
      <xdr:nvGrpSpPr>
        <xdr:cNvPr id="40" name="Agrupar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6C18931-F296-4B5C-A709-56FF280D40B2}"/>
            </a:ext>
          </a:extLst>
        </xdr:cNvPr>
        <xdr:cNvGrpSpPr/>
      </xdr:nvGrpSpPr>
      <xdr:grpSpPr>
        <a:xfrm>
          <a:off x="16104839" y="3006328"/>
          <a:ext cx="1028562" cy="869506"/>
          <a:chOff x="10744060" y="2050831"/>
          <a:chExt cx="1032640" cy="863203"/>
        </a:xfrm>
      </xdr:grpSpPr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5E1FA7B2-75F7-55D1-4689-177F8F75F6BB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A0CD712-851E-5377-61FD-AFDEDA9D62B3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34864A80-0C45-C244-27A8-4AC06F3B36D0}"/>
                </a:ext>
              </a:extLst>
            </xdr:cNvPr>
            <xdr:cNvSpPr txBox="1"/>
          </xdr:nvSpPr>
          <xdr:spPr>
            <a:xfrm>
              <a:off x="7532260" y="528204"/>
              <a:ext cx="983705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(+) (-)</a:t>
              </a:r>
            </a:p>
          </xdr:txBody>
        </xdr:sp>
      </xdr:grpSp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89156C73-B78E-809B-8671-5906A4A667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28</xdr:col>
      <xdr:colOff>285440</xdr:colOff>
      <xdr:row>5</xdr:row>
      <xdr:rowOff>123825</xdr:rowOff>
    </xdr:from>
    <xdr:to>
      <xdr:col>30</xdr:col>
      <xdr:colOff>92939</xdr:colOff>
      <xdr:row>9</xdr:row>
      <xdr:rowOff>124175</xdr:rowOff>
    </xdr:to>
    <xdr:grpSp>
      <xdr:nvGrpSpPr>
        <xdr:cNvPr id="45" name="Agrupar 4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C2B94B-4CB2-4619-A26C-08E692F6BB8E}"/>
            </a:ext>
          </a:extLst>
        </xdr:cNvPr>
        <xdr:cNvGrpSpPr/>
      </xdr:nvGrpSpPr>
      <xdr:grpSpPr>
        <a:xfrm>
          <a:off x="17287565" y="2052638"/>
          <a:ext cx="1021937" cy="839740"/>
          <a:chOff x="10666547" y="1933904"/>
          <a:chExt cx="1032640" cy="863203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0C1FF552-790F-5096-75C0-44F08CDF2082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id="{2CE7EC9F-7F8A-EF24-E3B7-56D80FB76F3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28FD3AFA-5377-4C07-554D-F60D251F6512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(0)</a:t>
              </a:r>
            </a:p>
          </xdr:txBody>
        </xdr:sp>
      </xdr:grp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83262FF7-E54D-8B23-6A60-4A2E4DC039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28</xdr:col>
      <xdr:colOff>266390</xdr:colOff>
      <xdr:row>10</xdr:row>
      <xdr:rowOff>47625</xdr:rowOff>
    </xdr:from>
    <xdr:to>
      <xdr:col>30</xdr:col>
      <xdr:colOff>73889</xdr:colOff>
      <xdr:row>14</xdr:row>
      <xdr:rowOff>350</xdr:rowOff>
    </xdr:to>
    <xdr:grpSp>
      <xdr:nvGrpSpPr>
        <xdr:cNvPr id="50" name="Agrupar 4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0089654-F38D-4AB4-B06B-58F9FD913DB8}"/>
            </a:ext>
          </a:extLst>
        </xdr:cNvPr>
        <xdr:cNvGrpSpPr/>
      </xdr:nvGrpSpPr>
      <xdr:grpSpPr>
        <a:xfrm>
          <a:off x="17268515" y="3006328"/>
          <a:ext cx="1021937" cy="869506"/>
          <a:chOff x="10666547" y="1933904"/>
          <a:chExt cx="1032640" cy="863203"/>
        </a:xfrm>
      </xdr:grpSpPr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0956192D-B0F9-7A82-C6E8-6BE71A467383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53" name="Retângulo 52">
              <a:extLst>
                <a:ext uri="{FF2B5EF4-FFF2-40B4-BE49-F238E27FC236}">
                  <a16:creationId xmlns:a16="http://schemas.microsoft.com/office/drawing/2014/main" id="{6C83AD1D-EA6F-3349-6918-C025531A6F5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" name="CaixaDeTexto 53">
              <a:extLst>
                <a:ext uri="{FF2B5EF4-FFF2-40B4-BE49-F238E27FC236}">
                  <a16:creationId xmlns:a16="http://schemas.microsoft.com/office/drawing/2014/main" id="{7099D296-2BEC-329B-DC2C-0B559CF8AC68}"/>
                </a:ext>
              </a:extLst>
            </xdr:cNvPr>
            <xdr:cNvSpPr txBox="1"/>
          </xdr:nvSpPr>
          <xdr:spPr>
            <a:xfrm>
              <a:off x="7616883" y="528204"/>
              <a:ext cx="819830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(0)</a:t>
              </a:r>
            </a:p>
          </xdr:txBody>
        </xdr:sp>
      </xdr:grp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F4E157F-986D-DD29-7F8B-16BBD4045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30</xdr:col>
      <xdr:colOff>198163</xdr:colOff>
      <xdr:row>5</xdr:row>
      <xdr:rowOff>57150</xdr:rowOff>
    </xdr:from>
    <xdr:to>
      <xdr:col>32</xdr:col>
      <xdr:colOff>20110</xdr:colOff>
      <xdr:row>9</xdr:row>
      <xdr:rowOff>57500</xdr:rowOff>
    </xdr:to>
    <xdr:grpSp>
      <xdr:nvGrpSpPr>
        <xdr:cNvPr id="55" name="Agrupar 5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0A8E5AD-674B-43A9-9DE2-149F17C0804B}"/>
            </a:ext>
          </a:extLst>
        </xdr:cNvPr>
        <xdr:cNvGrpSpPr/>
      </xdr:nvGrpSpPr>
      <xdr:grpSpPr>
        <a:xfrm>
          <a:off x="18414726" y="1985963"/>
          <a:ext cx="1036384" cy="839740"/>
          <a:chOff x="7623418" y="2467632"/>
          <a:chExt cx="1034665" cy="863203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A7D7C0B7-D7AD-B4ED-1C38-2CED6CBF4D0C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CBD3B142-A87D-E9FF-9474-8BA01C8033B0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DF3FCA4-583F-C985-DADE-024754A9BB7E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Relatório</a:t>
              </a:r>
            </a:p>
          </xdr:txBody>
        </xdr:sp>
      </xdr:grp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D87124D-6410-71CB-C6EA-9F0A2C4B8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30</xdr:col>
      <xdr:colOff>233995</xdr:colOff>
      <xdr:row>9</xdr:row>
      <xdr:rowOff>134800</xdr:rowOff>
    </xdr:from>
    <xdr:to>
      <xdr:col>32</xdr:col>
      <xdr:colOff>159382</xdr:colOff>
      <xdr:row>13</xdr:row>
      <xdr:rowOff>87525</xdr:rowOff>
    </xdr:to>
    <xdr:grpSp>
      <xdr:nvGrpSpPr>
        <xdr:cNvPr id="60" name="Agrupar 5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DAAA091-9E89-453C-8A90-A0F00A3983B5}"/>
            </a:ext>
          </a:extLst>
        </xdr:cNvPr>
        <xdr:cNvGrpSpPr/>
      </xdr:nvGrpSpPr>
      <xdr:grpSpPr>
        <a:xfrm>
          <a:off x="18450558" y="2903003"/>
          <a:ext cx="1139824" cy="869506"/>
          <a:chOff x="7441106" y="2890838"/>
          <a:chExt cx="1139825" cy="867125"/>
        </a:xfrm>
      </xdr:grpSpPr>
      <xdr:grpSp>
        <xdr:nvGrpSpPr>
          <xdr:cNvPr id="61" name="Agrupar 60">
            <a:extLst>
              <a:ext uri="{FF2B5EF4-FFF2-40B4-BE49-F238E27FC236}">
                <a16:creationId xmlns:a16="http://schemas.microsoft.com/office/drawing/2014/main" id="{3B1A0829-9758-2AD5-3BB3-7873E9D1613E}"/>
              </a:ext>
            </a:extLst>
          </xdr:cNvPr>
          <xdr:cNvGrpSpPr/>
        </xdr:nvGrpSpPr>
        <xdr:grpSpPr>
          <a:xfrm>
            <a:off x="7441106" y="2890838"/>
            <a:ext cx="1139825" cy="867125"/>
            <a:chOff x="7519888" y="0"/>
            <a:chExt cx="1142799" cy="870672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16D2F1C1-B361-6BF6-8079-EA808118FC67}"/>
                </a:ext>
              </a:extLst>
            </xdr:cNvPr>
            <xdr:cNvSpPr/>
          </xdr:nvSpPr>
          <xdr:spPr>
            <a:xfrm>
              <a:off x="7575848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B67DC828-97D0-C484-6733-39F47E8DB822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Gerar</a:t>
              </a:r>
              <a:r>
                <a:rPr lang="pt-BR" sz="1200" baseline="0">
                  <a:solidFill>
                    <a:srgbClr val="151316"/>
                  </a:solidFill>
                </a:rPr>
                <a:t> Diagrama</a:t>
              </a:r>
              <a:endParaRPr lang="pt-BR" sz="1200">
                <a:solidFill>
                  <a:srgbClr val="151316"/>
                </a:solidFill>
              </a:endParaRPr>
            </a:p>
          </xdr:txBody>
        </xdr:sp>
      </xdr:grpSp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223E10E-3BA3-1137-604B-5EB4171BF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20</xdr:col>
      <xdr:colOff>376461</xdr:colOff>
      <xdr:row>15</xdr:row>
      <xdr:rowOff>95250</xdr:rowOff>
    </xdr:from>
    <xdr:to>
      <xdr:col>22</xdr:col>
      <xdr:colOff>238492</xdr:colOff>
      <xdr:row>19</xdr:row>
      <xdr:rowOff>124175</xdr:rowOff>
    </xdr:to>
    <xdr:grpSp>
      <xdr:nvGrpSpPr>
        <xdr:cNvPr id="65" name="Agrupar 6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70D79-A1A1-4A52-84CD-5C7A211EBC41}"/>
            </a:ext>
          </a:extLst>
        </xdr:cNvPr>
        <xdr:cNvGrpSpPr>
          <a:grpSpLocks noChangeAspect="1"/>
        </xdr:cNvGrpSpPr>
      </xdr:nvGrpSpPr>
      <xdr:grpSpPr>
        <a:xfrm>
          <a:off x="12520836" y="4238625"/>
          <a:ext cx="1076469" cy="868316"/>
          <a:chOff x="8052741" y="2471157"/>
          <a:chExt cx="1082687" cy="863203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760BA380-AFC6-A404-840D-71E04EFEAA78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B5CAD937-F943-11DE-F40A-751236CAF586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8DFA90E2-C2E0-B312-4D7C-638A04318BF2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6533E2-00CC-36CA-7EB3-B7E24FA72F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598663</xdr:colOff>
      <xdr:row>15</xdr:row>
      <xdr:rowOff>108439</xdr:rowOff>
    </xdr:from>
    <xdr:to>
      <xdr:col>26</xdr:col>
      <xdr:colOff>411322</xdr:colOff>
      <xdr:row>19</xdr:row>
      <xdr:rowOff>138097</xdr:rowOff>
    </xdr:to>
    <xdr:grpSp>
      <xdr:nvGrpSpPr>
        <xdr:cNvPr id="70" name="Agrupar 6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608C686-C466-4EC1-8A43-2537F70E8A55}"/>
            </a:ext>
          </a:extLst>
        </xdr:cNvPr>
        <xdr:cNvGrpSpPr>
          <a:grpSpLocks noChangeAspect="1"/>
        </xdr:cNvGrpSpPr>
      </xdr:nvGrpSpPr>
      <xdr:grpSpPr>
        <a:xfrm>
          <a:off x="15171913" y="4251814"/>
          <a:ext cx="1027097" cy="869049"/>
          <a:chOff x="9899139" y="1970356"/>
          <a:chExt cx="1028548" cy="863203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05DCD3A5-182E-98F8-2117-FDE1231F81BB}"/>
              </a:ext>
            </a:extLst>
          </xdr:cNvPr>
          <xdr:cNvGrpSpPr/>
        </xdr:nvGrpSpPr>
        <xdr:grpSpPr>
          <a:xfrm>
            <a:off x="9899139" y="1970356"/>
            <a:ext cx="1028548" cy="863203"/>
            <a:chOff x="7510696" y="0"/>
            <a:chExt cx="1030879" cy="870672"/>
          </a:xfrm>
        </xdr:grpSpPr>
        <xdr:sp macro="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id="{58FD980A-CB6F-2291-29D7-3C82D60F02A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C7DF5710-23D0-7E56-0133-128793076AD3}"/>
                </a:ext>
              </a:extLst>
            </xdr:cNvPr>
            <xdr:cNvSpPr txBox="1"/>
          </xdr:nvSpPr>
          <xdr:spPr>
            <a:xfrm>
              <a:off x="7613268" y="528204"/>
              <a:ext cx="825736" cy="2812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Geradores</a:t>
              </a:r>
            </a:p>
          </xdr:txBody>
        </xdr:sp>
      </xdr:grpSp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890B968-FC61-5DED-4B98-D05E0B9354B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528757</xdr:colOff>
      <xdr:row>15</xdr:row>
      <xdr:rowOff>108438</xdr:rowOff>
    </xdr:from>
    <xdr:to>
      <xdr:col>28</xdr:col>
      <xdr:colOff>342882</xdr:colOff>
      <xdr:row>19</xdr:row>
      <xdr:rowOff>138096</xdr:rowOff>
    </xdr:to>
    <xdr:grpSp>
      <xdr:nvGrpSpPr>
        <xdr:cNvPr id="75" name="Agrupar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53C8FEF-8E28-4DA8-90CA-1BB54FA7DE3B}"/>
            </a:ext>
          </a:extLst>
        </xdr:cNvPr>
        <xdr:cNvGrpSpPr>
          <a:grpSpLocks noChangeAspect="1"/>
        </xdr:cNvGrpSpPr>
      </xdr:nvGrpSpPr>
      <xdr:grpSpPr>
        <a:xfrm>
          <a:off x="16316445" y="4251813"/>
          <a:ext cx="1028562" cy="869049"/>
          <a:chOff x="10744060" y="2050831"/>
          <a:chExt cx="1032640" cy="863203"/>
        </a:xfrm>
      </xdr:grpSpPr>
      <xdr:grpSp>
        <xdr:nvGrpSpPr>
          <xdr:cNvPr id="76" name="Agrupar 75">
            <a:extLst>
              <a:ext uri="{FF2B5EF4-FFF2-40B4-BE49-F238E27FC236}">
                <a16:creationId xmlns:a16="http://schemas.microsoft.com/office/drawing/2014/main" id="{147E9E25-05B6-B43A-62C7-9C323FFF1BA8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E0F90B0C-7742-3FD0-8774-7FE524A9E341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" name="CaixaDeTexto 78">
              <a:extLst>
                <a:ext uri="{FF2B5EF4-FFF2-40B4-BE49-F238E27FC236}">
                  <a16:creationId xmlns:a16="http://schemas.microsoft.com/office/drawing/2014/main" id="{54335678-D77A-C650-4A5E-BF6D4CED1B50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76F7DF16-44D6-758D-4D0B-D5D7FEEE36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BEBA8EAE-BF5A-486C-A8C5-ECC9F3942E4B}">
                <a14:imgProps xmlns:a14="http://schemas.microsoft.com/office/drawing/2010/main">
                  <a14:imgLayer r:embed="rId2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431322</xdr:colOff>
      <xdr:row>15</xdr:row>
      <xdr:rowOff>93784</xdr:rowOff>
    </xdr:from>
    <xdr:to>
      <xdr:col>30</xdr:col>
      <xdr:colOff>238821</xdr:colOff>
      <xdr:row>19</xdr:row>
      <xdr:rowOff>123442</xdr:rowOff>
    </xdr:to>
    <xdr:grpSp>
      <xdr:nvGrpSpPr>
        <xdr:cNvPr id="80" name="Agrupar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0A38F7D-88E8-4BAE-8127-4164C69FB54A}"/>
            </a:ext>
          </a:extLst>
        </xdr:cNvPr>
        <xdr:cNvGrpSpPr>
          <a:grpSpLocks noChangeAspect="1"/>
        </xdr:cNvGrpSpPr>
      </xdr:nvGrpSpPr>
      <xdr:grpSpPr>
        <a:xfrm>
          <a:off x="17433447" y="4237159"/>
          <a:ext cx="1021937" cy="869049"/>
          <a:chOff x="10666547" y="1933904"/>
          <a:chExt cx="1032640" cy="863203"/>
        </a:xfrm>
      </xdr:grpSpPr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E98DD5B2-9963-8855-B059-054867754F61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9ACDB32A-C57F-DA46-7F49-A914FA27197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4" name="CaixaDeTexto 83">
              <a:extLst>
                <a:ext uri="{FF2B5EF4-FFF2-40B4-BE49-F238E27FC236}">
                  <a16:creationId xmlns:a16="http://schemas.microsoft.com/office/drawing/2014/main" id="{E67EE3B2-DFCD-CAD9-0059-D15343F3964A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5CE7C9F-4126-743A-23CC-141D58C91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30</xdr:col>
      <xdr:colOff>339601</xdr:colOff>
      <xdr:row>15</xdr:row>
      <xdr:rowOff>79131</xdr:rowOff>
    </xdr:from>
    <xdr:to>
      <xdr:col>32</xdr:col>
      <xdr:colOff>163013</xdr:colOff>
      <xdr:row>19</xdr:row>
      <xdr:rowOff>108789</xdr:rowOff>
    </xdr:to>
    <xdr:grpSp>
      <xdr:nvGrpSpPr>
        <xdr:cNvPr id="85" name="Agrupar 8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EAED079-9644-4C31-BA22-393577A11F7A}"/>
            </a:ext>
          </a:extLst>
        </xdr:cNvPr>
        <xdr:cNvGrpSpPr>
          <a:grpSpLocks noChangeAspect="1"/>
        </xdr:cNvGrpSpPr>
      </xdr:nvGrpSpPr>
      <xdr:grpSpPr>
        <a:xfrm>
          <a:off x="18556164" y="4222506"/>
          <a:ext cx="1037849" cy="869049"/>
          <a:chOff x="7623418" y="2467632"/>
          <a:chExt cx="1034665" cy="863203"/>
        </a:xfrm>
      </xdr:grpSpPr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658BA008-2F62-AC16-9DEA-D64A65FD16F0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E2EE25ED-EC08-D3C7-8BF7-307A6A6F25F8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95622A75-38A7-78AC-115E-128AE1DED545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195E1BC9-BCD1-69A6-1F0F-077DAFCB57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282395</xdr:colOff>
      <xdr:row>20</xdr:row>
      <xdr:rowOff>40341</xdr:rowOff>
    </xdr:from>
    <xdr:to>
      <xdr:col>22</xdr:col>
      <xdr:colOff>292123</xdr:colOff>
      <xdr:row>24</xdr:row>
      <xdr:rowOff>141544</xdr:rowOff>
    </xdr:to>
    <xdr:grpSp>
      <xdr:nvGrpSpPr>
        <xdr:cNvPr id="90" name="Agrupar 8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FD783A3-0FE2-403F-B88D-B7AAE4FE67F4}"/>
            </a:ext>
          </a:extLst>
        </xdr:cNvPr>
        <xdr:cNvGrpSpPr>
          <a:grpSpLocks noChangeAspect="1"/>
        </xdr:cNvGrpSpPr>
      </xdr:nvGrpSpPr>
      <xdr:grpSpPr>
        <a:xfrm>
          <a:off x="12426770" y="5213607"/>
          <a:ext cx="1224166" cy="863203"/>
          <a:chOff x="10965361" y="1520405"/>
          <a:chExt cx="1231803" cy="863203"/>
        </a:xfrm>
      </xdr:grpSpPr>
      <xdr:grpSp>
        <xdr:nvGrpSpPr>
          <xdr:cNvPr id="91" name="Agrupar 90">
            <a:extLst>
              <a:ext uri="{FF2B5EF4-FFF2-40B4-BE49-F238E27FC236}">
                <a16:creationId xmlns:a16="http://schemas.microsoft.com/office/drawing/2014/main" id="{2EB0BAE6-1796-66F0-1971-D2F2E0B25FD1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93" name="Retângulo 92">
              <a:extLst>
                <a:ext uri="{FF2B5EF4-FFF2-40B4-BE49-F238E27FC236}">
                  <a16:creationId xmlns:a16="http://schemas.microsoft.com/office/drawing/2014/main" id="{127603A8-0167-B1E0-EFE5-95405B5DFACA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4" name="CaixaDeTexto 93">
              <a:extLst>
                <a:ext uri="{FF2B5EF4-FFF2-40B4-BE49-F238E27FC236}">
                  <a16:creationId xmlns:a16="http://schemas.microsoft.com/office/drawing/2014/main" id="{CAA4D0B3-66DE-8F2F-F4C8-4722CB29F85E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92" name="Imagem 91">
            <a:extLst>
              <a:ext uri="{FF2B5EF4-FFF2-40B4-BE49-F238E27FC236}">
                <a16:creationId xmlns:a16="http://schemas.microsoft.com/office/drawing/2014/main" id="{19744DFC-EA74-8B7F-58A5-D64FA02B415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4">
            <a:extLst>
              <a:ext uri="{BEBA8EAE-BF5A-486C-A8C5-ECC9F3942E4B}">
                <a14:imgProps xmlns:a14="http://schemas.microsoft.com/office/drawing/2010/main">
                  <a14:imgLayer r:embed="rId3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580656</xdr:colOff>
      <xdr:row>20</xdr:row>
      <xdr:rowOff>141193</xdr:rowOff>
    </xdr:from>
    <xdr:to>
      <xdr:col>26</xdr:col>
      <xdr:colOff>396486</xdr:colOff>
      <xdr:row>25</xdr:row>
      <xdr:rowOff>51896</xdr:rowOff>
    </xdr:to>
    <xdr:grpSp>
      <xdr:nvGrpSpPr>
        <xdr:cNvPr id="95" name="Agrupar 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C4D8E78-0210-465C-B07A-549F424FA956}"/>
            </a:ext>
          </a:extLst>
        </xdr:cNvPr>
        <xdr:cNvGrpSpPr>
          <a:grpSpLocks noChangeAspect="1"/>
        </xdr:cNvGrpSpPr>
      </xdr:nvGrpSpPr>
      <xdr:grpSpPr>
        <a:xfrm>
          <a:off x="15153906" y="5314459"/>
          <a:ext cx="1030268" cy="863203"/>
          <a:chOff x="10613252" y="3484008"/>
          <a:chExt cx="1034639" cy="863203"/>
        </a:xfrm>
      </xdr:grpSpPr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93E1DA74-3BAE-30EE-5412-948B7BFB6E22}"/>
              </a:ext>
            </a:extLst>
          </xdr:cNvPr>
          <xdr:cNvGrpSpPr/>
        </xdr:nvGrpSpPr>
        <xdr:grpSpPr>
          <a:xfrm>
            <a:off x="10613252" y="3484008"/>
            <a:ext cx="1034639" cy="863203"/>
            <a:chOff x="7510696" y="0"/>
            <a:chExt cx="1030879" cy="870672"/>
          </a:xfrm>
        </xdr:grpSpPr>
        <xdr:sp macro="" textlink="">
          <xdr:nvSpPr>
            <xdr:cNvPr id="98" name="Retângulo 97">
              <a:extLst>
                <a:ext uri="{FF2B5EF4-FFF2-40B4-BE49-F238E27FC236}">
                  <a16:creationId xmlns:a16="http://schemas.microsoft.com/office/drawing/2014/main" id="{DA71E01D-A9E8-D77C-6D17-B08802B1AC5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9" name="CaixaDeTexto 98">
              <a:extLst>
                <a:ext uri="{FF2B5EF4-FFF2-40B4-BE49-F238E27FC236}">
                  <a16:creationId xmlns:a16="http://schemas.microsoft.com/office/drawing/2014/main" id="{64017CA2-B723-F257-9214-E19382488DF8}"/>
                </a:ext>
              </a:extLst>
            </xdr:cNvPr>
            <xdr:cNvSpPr txBox="1"/>
          </xdr:nvSpPr>
          <xdr:spPr>
            <a:xfrm>
              <a:off x="7683765" y="528204"/>
              <a:ext cx="68474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Motores</a:t>
              </a:r>
            </a:p>
          </xdr:txBody>
        </xdr:sp>
      </xdr:grpSp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3D1FA693-03A4-94A9-1B06-4142831FF48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6" cstate="print">
            <a:extLst>
              <a:ext uri="{BEBA8EAE-BF5A-486C-A8C5-ECC9F3942E4B}">
                <a14:imgProps xmlns:a14="http://schemas.microsoft.com/office/drawing/2010/main">
                  <a14:imgLayer r:embed="rId3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941" t="24859" r="25956" b="25771"/>
          <a:stretch/>
        </xdr:blipFill>
        <xdr:spPr>
          <a:xfrm>
            <a:off x="10884269" y="3540671"/>
            <a:ext cx="487145" cy="496851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527733</xdr:colOff>
      <xdr:row>20</xdr:row>
      <xdr:rowOff>152400</xdr:rowOff>
    </xdr:from>
    <xdr:to>
      <xdr:col>28</xdr:col>
      <xdr:colOff>336547</xdr:colOff>
      <xdr:row>25</xdr:row>
      <xdr:rowOff>63103</xdr:rowOff>
    </xdr:to>
    <xdr:grpSp>
      <xdr:nvGrpSpPr>
        <xdr:cNvPr id="100" name="Agrupar 9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BB01A3E-BC9C-4140-BC23-A53BE3B73784}"/>
            </a:ext>
          </a:extLst>
        </xdr:cNvPr>
        <xdr:cNvGrpSpPr>
          <a:grpSpLocks noChangeAspect="1"/>
        </xdr:cNvGrpSpPr>
      </xdr:nvGrpSpPr>
      <xdr:grpSpPr>
        <a:xfrm>
          <a:off x="16315421" y="5325666"/>
          <a:ext cx="1023251" cy="863203"/>
          <a:chOff x="10744060" y="2050831"/>
          <a:chExt cx="1032640" cy="863203"/>
        </a:xfrm>
      </xdr:grpSpPr>
      <xdr:grpSp>
        <xdr:nvGrpSpPr>
          <xdr:cNvPr id="101" name="Agrupar 100">
            <a:extLst>
              <a:ext uri="{FF2B5EF4-FFF2-40B4-BE49-F238E27FC236}">
                <a16:creationId xmlns:a16="http://schemas.microsoft.com/office/drawing/2014/main" id="{2164F83D-A736-AEC9-3CBA-948757F977DB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61880CCA-98B9-E687-4244-81717C0F642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6F02CEF5-F9A9-16D8-13D6-4D16255677E0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102" name="Imagem 101">
            <a:extLst>
              <a:ext uri="{FF2B5EF4-FFF2-40B4-BE49-F238E27FC236}">
                <a16:creationId xmlns:a16="http://schemas.microsoft.com/office/drawing/2014/main" id="{5B6111F7-5C5F-92C9-713E-2DE9A1D8E8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BEBA8EAE-BF5A-486C-A8C5-ECC9F3942E4B}">
                <a14:imgProps xmlns:a14="http://schemas.microsoft.com/office/drawing/2010/main">
                  <a14:imgLayer r:embed="rId3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28</xdr:col>
      <xdr:colOff>427551</xdr:colOff>
      <xdr:row>20</xdr:row>
      <xdr:rowOff>174812</xdr:rowOff>
    </xdr:from>
    <xdr:to>
      <xdr:col>30</xdr:col>
      <xdr:colOff>238363</xdr:colOff>
      <xdr:row>25</xdr:row>
      <xdr:rowOff>85515</xdr:rowOff>
    </xdr:to>
    <xdr:grpSp>
      <xdr:nvGrpSpPr>
        <xdr:cNvPr id="105" name="Agrupar 10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273A1E9-189B-4EA1-8E90-A60589985146}"/>
            </a:ext>
          </a:extLst>
        </xdr:cNvPr>
        <xdr:cNvGrpSpPr>
          <a:grpSpLocks noChangeAspect="1"/>
        </xdr:cNvGrpSpPr>
      </xdr:nvGrpSpPr>
      <xdr:grpSpPr>
        <a:xfrm>
          <a:off x="17429676" y="5348078"/>
          <a:ext cx="1025250" cy="863203"/>
          <a:chOff x="10666547" y="1933904"/>
          <a:chExt cx="1032640" cy="863203"/>
        </a:xfrm>
      </xdr:grpSpPr>
      <xdr:grpSp>
        <xdr:nvGrpSpPr>
          <xdr:cNvPr id="106" name="Agrupar 105">
            <a:extLst>
              <a:ext uri="{FF2B5EF4-FFF2-40B4-BE49-F238E27FC236}">
                <a16:creationId xmlns:a16="http://schemas.microsoft.com/office/drawing/2014/main" id="{9EB8E1B8-8FB3-8D38-D696-D2631B2EE019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49F1875-C6D0-23D5-BF58-C627E5229AB9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9" name="CaixaDeTexto 108">
              <a:extLst>
                <a:ext uri="{FF2B5EF4-FFF2-40B4-BE49-F238E27FC236}">
                  <a16:creationId xmlns:a16="http://schemas.microsoft.com/office/drawing/2014/main" id="{ACD50987-EAF1-5A97-224A-8D40619BC730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107" name="Imagem 106">
            <a:extLst>
              <a:ext uri="{FF2B5EF4-FFF2-40B4-BE49-F238E27FC236}">
                <a16:creationId xmlns:a16="http://schemas.microsoft.com/office/drawing/2014/main" id="{A9517D1F-CBAA-88A7-1D6E-3E59B5369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BEBA8EAE-BF5A-486C-A8C5-ECC9F3942E4B}">
                <a14:imgProps xmlns:a14="http://schemas.microsoft.com/office/drawing/2010/main">
                  <a14:imgLayer r:embed="rId3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30</xdr:col>
      <xdr:colOff>325883</xdr:colOff>
      <xdr:row>20</xdr:row>
      <xdr:rowOff>174634</xdr:rowOff>
    </xdr:from>
    <xdr:to>
      <xdr:col>32</xdr:col>
      <xdr:colOff>251270</xdr:colOff>
      <xdr:row>25</xdr:row>
      <xdr:rowOff>63280</xdr:rowOff>
    </xdr:to>
    <xdr:grpSp>
      <xdr:nvGrpSpPr>
        <xdr:cNvPr id="110" name="Agrupar 10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2DFEF35-6115-4791-943E-BF26301C7C9B}"/>
            </a:ext>
          </a:extLst>
        </xdr:cNvPr>
        <xdr:cNvGrpSpPr>
          <a:grpSpLocks noChangeAspect="1"/>
        </xdr:cNvGrpSpPr>
      </xdr:nvGrpSpPr>
      <xdr:grpSpPr>
        <a:xfrm>
          <a:off x="18542446" y="5347900"/>
          <a:ext cx="1139824" cy="841146"/>
          <a:chOff x="7441106" y="2890839"/>
          <a:chExt cx="1139825" cy="839477"/>
        </a:xfrm>
      </xdr:grpSpPr>
      <xdr:grpSp>
        <xdr:nvGrpSpPr>
          <xdr:cNvPr id="111" name="Agrupar 110">
            <a:extLst>
              <a:ext uri="{FF2B5EF4-FFF2-40B4-BE49-F238E27FC236}">
                <a16:creationId xmlns:a16="http://schemas.microsoft.com/office/drawing/2014/main" id="{6FAF87B3-8643-A0EB-3A95-1F7A3ACAFFAA}"/>
              </a:ext>
            </a:extLst>
          </xdr:cNvPr>
          <xdr:cNvGrpSpPr/>
        </xdr:nvGrpSpPr>
        <xdr:grpSpPr>
          <a:xfrm>
            <a:off x="7441106" y="2890839"/>
            <a:ext cx="1139825" cy="839477"/>
            <a:chOff x="7519888" y="1"/>
            <a:chExt cx="1142799" cy="842911"/>
          </a:xfrm>
        </xdr:grpSpPr>
        <xdr:sp macro="" textlink="">
          <xdr:nvSpPr>
            <xdr:cNvPr id="113" name="Retângulo 112">
              <a:extLst>
                <a:ext uri="{FF2B5EF4-FFF2-40B4-BE49-F238E27FC236}">
                  <a16:creationId xmlns:a16="http://schemas.microsoft.com/office/drawing/2014/main" id="{7F8F7E9A-D6CF-FC85-B73A-4F2D6BBDB128}"/>
                </a:ext>
              </a:extLst>
            </xdr:cNvPr>
            <xdr:cNvSpPr/>
          </xdr:nvSpPr>
          <xdr:spPr>
            <a:xfrm>
              <a:off x="7575848" y="1"/>
              <a:ext cx="1030879" cy="84291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id="{D4EAA719-2BDB-799D-E705-F01CFB564465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112" name="Imagem 111">
            <a:extLst>
              <a:ext uri="{FF2B5EF4-FFF2-40B4-BE49-F238E27FC236}">
                <a16:creationId xmlns:a16="http://schemas.microsoft.com/office/drawing/2014/main" id="{8ADA806B-463D-2E6A-BCCB-F5AAB0C0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291353</xdr:colOff>
      <xdr:row>28</xdr:row>
      <xdr:rowOff>98222</xdr:rowOff>
    </xdr:from>
    <xdr:to>
      <xdr:col>26</xdr:col>
      <xdr:colOff>459440</xdr:colOff>
      <xdr:row>33</xdr:row>
      <xdr:rowOff>59548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4CB982C4-B16F-4D33-BF25-9A10FF8CF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510553" y="6784772"/>
          <a:ext cx="14798487" cy="913826"/>
        </a:xfrm>
        <a:prstGeom prst="rect">
          <a:avLst/>
        </a:prstGeom>
      </xdr:spPr>
    </xdr:pic>
    <xdr:clientData/>
  </xdr:twoCellAnchor>
  <xdr:twoCellAnchor editAs="absolute">
    <xdr:from>
      <xdr:col>22</xdr:col>
      <xdr:colOff>474935</xdr:colOff>
      <xdr:row>15</xdr:row>
      <xdr:rowOff>156322</xdr:rowOff>
    </xdr:from>
    <xdr:to>
      <xdr:col>24</xdr:col>
      <xdr:colOff>283323</xdr:colOff>
      <xdr:row>19</xdr:row>
      <xdr:rowOff>185247</xdr:rowOff>
    </xdr:to>
    <xdr:grpSp>
      <xdr:nvGrpSpPr>
        <xdr:cNvPr id="116" name="Agrupar 1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7189E2-2688-4F52-B4B7-F1B1EDFA2540}"/>
            </a:ext>
          </a:extLst>
        </xdr:cNvPr>
        <xdr:cNvGrpSpPr>
          <a:grpSpLocks noChangeAspect="1"/>
        </xdr:cNvGrpSpPr>
      </xdr:nvGrpSpPr>
      <xdr:grpSpPr>
        <a:xfrm>
          <a:off x="13833748" y="4299697"/>
          <a:ext cx="1022825" cy="868316"/>
          <a:chOff x="7411601" y="0"/>
          <a:chExt cx="1030879" cy="870672"/>
        </a:xfrm>
      </xdr:grpSpPr>
      <xdr:sp macro="" textlink="">
        <xdr:nvSpPr>
          <xdr:cNvPr id="117" name="Retângulo 116">
            <a:extLst>
              <a:ext uri="{FF2B5EF4-FFF2-40B4-BE49-F238E27FC236}">
                <a16:creationId xmlns:a16="http://schemas.microsoft.com/office/drawing/2014/main" id="{30BFD45D-A988-CDED-6F07-A76437995F4E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8" name="Imagem 117">
            <a:extLst>
              <a:ext uri="{FF2B5EF4-FFF2-40B4-BE49-F238E27FC236}">
                <a16:creationId xmlns:a16="http://schemas.microsoft.com/office/drawing/2014/main" id="{900AB67C-6BA0-3356-09C3-B77F518FD5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3" cstate="print">
            <a:extLst>
              <a:ext uri="{BEBA8EAE-BF5A-486C-A8C5-ECC9F3942E4B}">
                <a14:imgProps xmlns:a14="http://schemas.microsoft.com/office/drawing/2010/main">
                  <a14:imgLayer r:embed="rId44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119" name="CaixaDeTexto 118">
            <a:extLst>
              <a:ext uri="{FF2B5EF4-FFF2-40B4-BE49-F238E27FC236}">
                <a16:creationId xmlns:a16="http://schemas.microsoft.com/office/drawing/2014/main" id="{1D74C5BC-762F-37FB-5DE2-4FDB28EB8E1F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22</xdr:col>
      <xdr:colOff>485422</xdr:colOff>
      <xdr:row>20</xdr:row>
      <xdr:rowOff>125506</xdr:rowOff>
    </xdr:from>
    <xdr:to>
      <xdr:col>24</xdr:col>
      <xdr:colOff>300717</xdr:colOff>
      <xdr:row>25</xdr:row>
      <xdr:rowOff>36209</xdr:rowOff>
    </xdr:to>
    <xdr:grpSp>
      <xdr:nvGrpSpPr>
        <xdr:cNvPr id="120" name="Agrupar 119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6A47818-2DA9-440B-A334-6166E449EA72}"/>
            </a:ext>
          </a:extLst>
        </xdr:cNvPr>
        <xdr:cNvGrpSpPr>
          <a:grpSpLocks noChangeAspect="1"/>
        </xdr:cNvGrpSpPr>
      </xdr:nvGrpSpPr>
      <xdr:grpSpPr>
        <a:xfrm>
          <a:off x="13844235" y="5298772"/>
          <a:ext cx="1029732" cy="863203"/>
          <a:chOff x="10249990" y="1546698"/>
          <a:chExt cx="1026770" cy="863203"/>
        </a:xfrm>
      </xdr:grpSpPr>
      <xdr:grpSp>
        <xdr:nvGrpSpPr>
          <xdr:cNvPr id="121" name="Agrupar 120">
            <a:extLst>
              <a:ext uri="{FF2B5EF4-FFF2-40B4-BE49-F238E27FC236}">
                <a16:creationId xmlns:a16="http://schemas.microsoft.com/office/drawing/2014/main" id="{D7D71DA6-C043-EAAE-0658-3B0EA67A16E4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23" name="Retângulo 122">
              <a:extLst>
                <a:ext uri="{FF2B5EF4-FFF2-40B4-BE49-F238E27FC236}">
                  <a16:creationId xmlns:a16="http://schemas.microsoft.com/office/drawing/2014/main" id="{5EB8CD69-06E6-6BD0-268C-A6D2FA33E42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4" name="CaixaDeTexto 123">
              <a:extLst>
                <a:ext uri="{FF2B5EF4-FFF2-40B4-BE49-F238E27FC236}">
                  <a16:creationId xmlns:a16="http://schemas.microsoft.com/office/drawing/2014/main" id="{1D15FC0A-1DF7-EE9B-73BF-EF0F17EB009F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22" name="Imagem 121">
            <a:extLst>
              <a:ext uri="{FF2B5EF4-FFF2-40B4-BE49-F238E27FC236}">
                <a16:creationId xmlns:a16="http://schemas.microsoft.com/office/drawing/2014/main" id="{EAC325FE-D222-D8D9-E3D2-6414D6240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35802</xdr:colOff>
      <xdr:row>8</xdr:row>
      <xdr:rowOff>241097</xdr:rowOff>
    </xdr:from>
    <xdr:to>
      <xdr:col>20</xdr:col>
      <xdr:colOff>234029</xdr:colOff>
      <xdr:row>12</xdr:row>
      <xdr:rowOff>192960</xdr:rowOff>
    </xdr:to>
    <xdr:grpSp>
      <xdr:nvGrpSpPr>
        <xdr:cNvPr id="125" name="Agrupar 124">
          <a:extLst>
            <a:ext uri="{FF2B5EF4-FFF2-40B4-BE49-F238E27FC236}">
              <a16:creationId xmlns:a16="http://schemas.microsoft.com/office/drawing/2014/main" id="{DB11CE1D-BCF6-47F9-8B8C-33E26B1BF862}"/>
            </a:ext>
          </a:extLst>
        </xdr:cNvPr>
        <xdr:cNvGrpSpPr/>
      </xdr:nvGrpSpPr>
      <xdr:grpSpPr>
        <a:xfrm>
          <a:off x="35802" y="2741410"/>
          <a:ext cx="12342602" cy="868644"/>
          <a:chOff x="35802" y="2736647"/>
          <a:chExt cx="12390227" cy="866263"/>
        </a:xfrm>
      </xdr:grpSpPr>
      <xdr:grpSp>
        <xdr:nvGrpSpPr>
          <xdr:cNvPr id="126" name="Agrupar 12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687E6C0-BE6E-2634-F60C-FF1485D7C92C}"/>
              </a:ext>
            </a:extLst>
          </xdr:cNvPr>
          <xdr:cNvGrpSpPr>
            <a:grpSpLocks noChangeAspect="1"/>
          </xdr:cNvGrpSpPr>
        </xdr:nvGrpSpPr>
        <xdr:grpSpPr>
          <a:xfrm>
            <a:off x="1076655" y="2738026"/>
            <a:ext cx="1027589" cy="864884"/>
            <a:chOff x="7411601" y="0"/>
            <a:chExt cx="1030879" cy="870672"/>
          </a:xfrm>
        </xdr:grpSpPr>
        <xdr:sp macro="" textlink="">
          <xdr:nvSpPr>
            <xdr:cNvPr id="182" name="Retângulo 181">
              <a:extLst>
                <a:ext uri="{FF2B5EF4-FFF2-40B4-BE49-F238E27FC236}">
                  <a16:creationId xmlns:a16="http://schemas.microsoft.com/office/drawing/2014/main" id="{5EB36341-DB69-9400-EB38-57762C376F5B}"/>
                </a:ext>
              </a:extLst>
            </xdr:cNvPr>
            <xdr:cNvSpPr/>
          </xdr:nvSpPr>
          <xdr:spPr>
            <a:xfrm>
              <a:off x="7411601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83" name="Imagem 182">
              <a:extLst>
                <a:ext uri="{FF2B5EF4-FFF2-40B4-BE49-F238E27FC236}">
                  <a16:creationId xmlns:a16="http://schemas.microsoft.com/office/drawing/2014/main" id="{9F95908E-F17E-9E01-122A-1D518E1F681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3" cstate="print">
              <a:extLst>
                <a:ext uri="{BEBA8EAE-BF5A-486C-A8C5-ECC9F3942E4B}">
                  <a14:imgProps xmlns:a14="http://schemas.microsoft.com/office/drawing/2010/main">
                    <a14:imgLayer r:embed="rId44">
                      <a14:imgEffect>
                        <a14:saturation sat="98000"/>
                      </a14:imgEffect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0293" t="14194" r="5651" b="11996"/>
            <a:stretch/>
          </xdr:blipFill>
          <xdr:spPr>
            <a:xfrm>
              <a:off x="7681597" y="73602"/>
              <a:ext cx="515216" cy="450273"/>
            </a:xfrm>
            <a:prstGeom prst="rect">
              <a:avLst/>
            </a:prstGeom>
          </xdr:spPr>
        </xdr:pic>
        <xdr:sp macro="" textlink="">
          <xdr:nvSpPr>
            <xdr:cNvPr id="184" name="CaixaDeTexto 183">
              <a:extLst>
                <a:ext uri="{FF2B5EF4-FFF2-40B4-BE49-F238E27FC236}">
                  <a16:creationId xmlns:a16="http://schemas.microsoft.com/office/drawing/2014/main" id="{D027AE9D-4EF5-DE72-6A12-6559C7254515}"/>
                </a:ext>
              </a:extLst>
            </xdr:cNvPr>
            <xdr:cNvSpPr txBox="1"/>
          </xdr:nvSpPr>
          <xdr:spPr>
            <a:xfrm>
              <a:off x="7423909" y="541354"/>
              <a:ext cx="979755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Barramentos</a:t>
              </a:r>
            </a:p>
          </xdr:txBody>
        </xdr:sp>
      </xdr:grpSp>
      <xdr:grpSp>
        <xdr:nvGrpSpPr>
          <xdr:cNvPr id="127" name="Agrupar 126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93524208-CC00-25C3-AD1B-B54C34009D2A}"/>
              </a:ext>
            </a:extLst>
          </xdr:cNvPr>
          <xdr:cNvGrpSpPr>
            <a:grpSpLocks noChangeAspect="1"/>
          </xdr:cNvGrpSpPr>
        </xdr:nvGrpSpPr>
        <xdr:grpSpPr>
          <a:xfrm>
            <a:off x="3136823" y="2744189"/>
            <a:ext cx="1033029" cy="858721"/>
            <a:chOff x="10249990" y="1546698"/>
            <a:chExt cx="1026770" cy="863203"/>
          </a:xfrm>
        </xdr:grpSpPr>
        <xdr:grpSp>
          <xdr:nvGrpSpPr>
            <xdr:cNvPr id="178" name="Agrupar 177">
              <a:extLst>
                <a:ext uri="{FF2B5EF4-FFF2-40B4-BE49-F238E27FC236}">
                  <a16:creationId xmlns:a16="http://schemas.microsoft.com/office/drawing/2014/main" id="{4B16DC80-696B-B2A0-31FE-BAB35D8B5691}"/>
                </a:ext>
              </a:extLst>
            </xdr:cNvPr>
            <xdr:cNvGrpSpPr/>
          </xdr:nvGrpSpPr>
          <xdr:grpSpPr>
            <a:xfrm>
              <a:off x="10249990" y="1546698"/>
              <a:ext cx="1026770" cy="863203"/>
              <a:chOff x="7510696" y="0"/>
              <a:chExt cx="1030879" cy="870672"/>
            </a:xfrm>
          </xdr:grpSpPr>
          <xdr:sp macro="" textlink="">
            <xdr:nvSpPr>
              <xdr:cNvPr id="180" name="Retângulo 179">
                <a:extLst>
                  <a:ext uri="{FF2B5EF4-FFF2-40B4-BE49-F238E27FC236}">
                    <a16:creationId xmlns:a16="http://schemas.microsoft.com/office/drawing/2014/main" id="{09683AA8-8806-6DD5-B1ED-D188194B131B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81" name="CaixaDeTexto 180">
                <a:extLst>
                  <a:ext uri="{FF2B5EF4-FFF2-40B4-BE49-F238E27FC236}">
                    <a16:creationId xmlns:a16="http://schemas.microsoft.com/office/drawing/2014/main" id="{4C924A35-E156-518B-0C13-398F518D7606}"/>
                  </a:ext>
                </a:extLst>
              </xdr:cNvPr>
              <xdr:cNvSpPr txBox="1"/>
            </xdr:nvSpPr>
            <xdr:spPr>
              <a:xfrm>
                <a:off x="7732553" y="528204"/>
                <a:ext cx="587165" cy="2804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Linhas</a:t>
                </a:r>
              </a:p>
            </xdr:txBody>
          </xdr:sp>
        </xdr:grpSp>
        <xdr:pic>
          <xdr:nvPicPr>
            <xdr:cNvPr id="179" name="Imagem 178">
              <a:extLst>
                <a:ext uri="{FF2B5EF4-FFF2-40B4-BE49-F238E27FC236}">
                  <a16:creationId xmlns:a16="http://schemas.microsoft.com/office/drawing/2014/main" id="{75873563-C685-1114-4EC2-FA60C36B4CA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6" cstate="print">
              <a:extLst>
                <a:ext uri="{BEBA8EAE-BF5A-486C-A8C5-ECC9F3942E4B}">
                  <a14:imgProps xmlns:a14="http://schemas.microsoft.com/office/drawing/2010/main">
                    <a14:imgLayer r:embed="rId47">
                      <a14:imgEffect>
                        <a14:sharpenSoften amount="100000"/>
                      </a14:imgEffect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20083" y="1592904"/>
              <a:ext cx="486584" cy="486584"/>
            </a:xfrm>
            <a:prstGeom prst="rect">
              <a:avLst/>
            </a:prstGeom>
          </xdr:spPr>
        </xdr:pic>
      </xdr:grpSp>
      <xdr:grpSp>
        <xdr:nvGrpSpPr>
          <xdr:cNvPr id="128" name="Agrupar 12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6F608B-7D09-CD07-AE4B-E54BAF1029C0}"/>
              </a:ext>
            </a:extLst>
          </xdr:cNvPr>
          <xdr:cNvGrpSpPr>
            <a:grpSpLocks noChangeAspect="1"/>
          </xdr:cNvGrpSpPr>
        </xdr:nvGrpSpPr>
        <xdr:grpSpPr>
          <a:xfrm>
            <a:off x="2002407" y="2736647"/>
            <a:ext cx="1228928" cy="866263"/>
            <a:chOff x="10965361" y="1520404"/>
            <a:chExt cx="1231803" cy="870836"/>
          </a:xfrm>
        </xdr:grpSpPr>
        <xdr:grpSp>
          <xdr:nvGrpSpPr>
            <xdr:cNvPr id="174" name="Agrupar 173">
              <a:extLst>
                <a:ext uri="{FF2B5EF4-FFF2-40B4-BE49-F238E27FC236}">
                  <a16:creationId xmlns:a16="http://schemas.microsoft.com/office/drawing/2014/main" id="{20F79CCB-157C-4609-1F88-1F1607414F1F}"/>
                </a:ext>
              </a:extLst>
            </xdr:cNvPr>
            <xdr:cNvGrpSpPr/>
          </xdr:nvGrpSpPr>
          <xdr:grpSpPr>
            <a:xfrm>
              <a:off x="10965361" y="1520404"/>
              <a:ext cx="1231803" cy="870836"/>
              <a:chOff x="7404233" y="-1"/>
              <a:chExt cx="1229457" cy="878371"/>
            </a:xfrm>
          </xdr:grpSpPr>
          <xdr:sp macro="" textlink="">
            <xdr:nvSpPr>
              <xdr:cNvPr id="176" name="Retângulo 175">
                <a:extLst>
                  <a:ext uri="{FF2B5EF4-FFF2-40B4-BE49-F238E27FC236}">
                    <a16:creationId xmlns:a16="http://schemas.microsoft.com/office/drawing/2014/main" id="{6A778FDC-5FC0-FCFB-2B43-6EBDFFE533B9}"/>
                  </a:ext>
                </a:extLst>
              </xdr:cNvPr>
              <xdr:cNvSpPr/>
            </xdr:nvSpPr>
            <xdr:spPr>
              <a:xfrm>
                <a:off x="7510695" y="-1"/>
                <a:ext cx="1030879" cy="878371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77" name="CaixaDeTexto 176">
                <a:extLst>
                  <a:ext uri="{FF2B5EF4-FFF2-40B4-BE49-F238E27FC236}">
                    <a16:creationId xmlns:a16="http://schemas.microsoft.com/office/drawing/2014/main" id="{D3FEE707-3AD0-A4B9-1281-CDD2455AA86E}"/>
                  </a:ext>
                </a:extLst>
              </xdr:cNvPr>
              <xdr:cNvSpPr txBox="1"/>
            </xdr:nvSpPr>
            <xdr:spPr>
              <a:xfrm>
                <a:off x="7404233" y="528204"/>
                <a:ext cx="1229457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pPr algn="ctr"/>
                <a:r>
                  <a:rPr lang="pt-BR" sz="1200">
                    <a:solidFill>
                      <a:schemeClr val="bg1"/>
                    </a:solidFill>
                  </a:rPr>
                  <a:t>Transformadores</a:t>
                </a:r>
              </a:p>
            </xdr:txBody>
          </xdr:sp>
        </xdr:grpSp>
        <xdr:pic>
          <xdr:nvPicPr>
            <xdr:cNvPr id="175" name="Imagem 174">
              <a:extLst>
                <a:ext uri="{FF2B5EF4-FFF2-40B4-BE49-F238E27FC236}">
                  <a16:creationId xmlns:a16="http://schemas.microsoft.com/office/drawing/2014/main" id="{36A0D64E-D56A-2284-99C7-CB426537F01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4">
              <a:extLst>
                <a:ext uri="{BEBA8EAE-BF5A-486C-A8C5-ECC9F3942E4B}">
                  <a14:imgProps xmlns:a14="http://schemas.microsoft.com/office/drawing/2010/main">
                    <a14:imgLayer r:embed="rId3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9177" t="13563" r="29443" b="12414"/>
            <a:stretch/>
          </xdr:blipFill>
          <xdr:spPr>
            <a:xfrm rot="16200000">
              <a:off x="11410470" y="1476551"/>
              <a:ext cx="341585" cy="705191"/>
            </a:xfrm>
            <a:prstGeom prst="rect">
              <a:avLst/>
            </a:prstGeom>
          </xdr:spPr>
        </xdr:pic>
      </xdr:grpSp>
      <xdr:grpSp>
        <xdr:nvGrpSpPr>
          <xdr:cNvPr id="129" name="Agrupar 12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C4B4115-AF84-FDF1-BDF4-B4C3E93C1958}"/>
              </a:ext>
            </a:extLst>
          </xdr:cNvPr>
          <xdr:cNvGrpSpPr>
            <a:grpSpLocks noChangeAspect="1"/>
          </xdr:cNvGrpSpPr>
        </xdr:nvGrpSpPr>
        <xdr:grpSpPr>
          <a:xfrm>
            <a:off x="35802" y="2738026"/>
            <a:ext cx="1076748" cy="864884"/>
            <a:chOff x="8052741" y="2471157"/>
            <a:chExt cx="1082687" cy="863203"/>
          </a:xfrm>
        </xdr:grpSpPr>
        <xdr:grpSp>
          <xdr:nvGrpSpPr>
            <xdr:cNvPr id="170" name="Agrupar 169">
              <a:extLst>
                <a:ext uri="{FF2B5EF4-FFF2-40B4-BE49-F238E27FC236}">
                  <a16:creationId xmlns:a16="http://schemas.microsoft.com/office/drawing/2014/main" id="{83C27744-341A-BFB4-AEC4-6E48EFF658EF}"/>
                </a:ext>
              </a:extLst>
            </xdr:cNvPr>
            <xdr:cNvGrpSpPr/>
          </xdr:nvGrpSpPr>
          <xdr:grpSpPr>
            <a:xfrm>
              <a:off x="8052741" y="2471157"/>
              <a:ext cx="1082687" cy="863203"/>
              <a:chOff x="7519888" y="0"/>
              <a:chExt cx="1083194" cy="870672"/>
            </a:xfrm>
          </xdr:grpSpPr>
          <xdr:sp macro="" textlink="">
            <xdr:nvSpPr>
              <xdr:cNvPr id="172" name="Retângulo 171">
                <a:extLst>
                  <a:ext uri="{FF2B5EF4-FFF2-40B4-BE49-F238E27FC236}">
                    <a16:creationId xmlns:a16="http://schemas.microsoft.com/office/drawing/2014/main" id="{222609AB-33A5-8D38-8F85-8D497C5C3A3B}"/>
                  </a:ext>
                </a:extLst>
              </xdr:cNvPr>
              <xdr:cNvSpPr/>
            </xdr:nvSpPr>
            <xdr:spPr>
              <a:xfrm>
                <a:off x="7546045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73" name="CaixaDeTexto 172">
                <a:extLst>
                  <a:ext uri="{FF2B5EF4-FFF2-40B4-BE49-F238E27FC236}">
                    <a16:creationId xmlns:a16="http://schemas.microsoft.com/office/drawing/2014/main" id="{9AE1E645-3B8D-CFB7-8FC4-A78029EE5163}"/>
                  </a:ext>
                </a:extLst>
              </xdr:cNvPr>
              <xdr:cNvSpPr txBox="1"/>
            </xdr:nvSpPr>
            <xdr:spPr>
              <a:xfrm>
                <a:off x="7519888" y="528204"/>
                <a:ext cx="1083194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Configurações</a:t>
                </a:r>
              </a:p>
            </xdr:txBody>
          </xdr:sp>
        </xdr:grpSp>
        <xdr:pic>
          <xdr:nvPicPr>
            <xdr:cNvPr id="171" name="Imagem 170">
              <a:extLst>
                <a:ext uri="{FF2B5EF4-FFF2-40B4-BE49-F238E27FC236}">
                  <a16:creationId xmlns:a16="http://schemas.microsoft.com/office/drawing/2014/main" id="{59B127D0-85BE-C1A5-5563-7B81858490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BEBA8EAE-BF5A-486C-A8C5-ECC9F3942E4B}">
                  <a14:imgProps xmlns:a14="http://schemas.microsoft.com/office/drawing/2010/main">
                    <a14:imgLayer r:embed="rId2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48918" y="2525143"/>
              <a:ext cx="490332" cy="490332"/>
            </a:xfrm>
            <a:prstGeom prst="rect">
              <a:avLst/>
            </a:prstGeom>
          </xdr:spPr>
        </xdr:pic>
      </xdr:grpSp>
      <xdr:grpSp>
        <xdr:nvGrpSpPr>
          <xdr:cNvPr id="130" name="Agrupar 12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D801CACB-2B3F-BCBF-8EFA-469FD17ED9DA}"/>
              </a:ext>
            </a:extLst>
          </xdr:cNvPr>
          <xdr:cNvGrpSpPr>
            <a:grpSpLocks noChangeAspect="1"/>
          </xdr:cNvGrpSpPr>
        </xdr:nvGrpSpPr>
        <xdr:grpSpPr>
          <a:xfrm>
            <a:off x="4163265" y="2742510"/>
            <a:ext cx="1028843" cy="860400"/>
            <a:chOff x="9899139" y="1970356"/>
            <a:chExt cx="1028548" cy="858001"/>
          </a:xfrm>
        </xdr:grpSpPr>
        <xdr:grpSp>
          <xdr:nvGrpSpPr>
            <xdr:cNvPr id="166" name="Agrupar 165">
              <a:extLst>
                <a:ext uri="{FF2B5EF4-FFF2-40B4-BE49-F238E27FC236}">
                  <a16:creationId xmlns:a16="http://schemas.microsoft.com/office/drawing/2014/main" id="{03143CD0-D152-A350-D4F0-995B66829BF4}"/>
                </a:ext>
              </a:extLst>
            </xdr:cNvPr>
            <xdr:cNvGrpSpPr/>
          </xdr:nvGrpSpPr>
          <xdr:grpSpPr>
            <a:xfrm>
              <a:off x="9899139" y="1970356"/>
              <a:ext cx="1028548" cy="858001"/>
              <a:chOff x="7510696" y="0"/>
              <a:chExt cx="1030879" cy="865425"/>
            </a:xfrm>
          </xdr:grpSpPr>
          <xdr:sp macro="" textlink="">
            <xdr:nvSpPr>
              <xdr:cNvPr id="168" name="Retângulo 167">
                <a:extLst>
                  <a:ext uri="{FF2B5EF4-FFF2-40B4-BE49-F238E27FC236}">
                    <a16:creationId xmlns:a16="http://schemas.microsoft.com/office/drawing/2014/main" id="{28278045-43E2-DDED-9FA8-7C0DEC02FF87}"/>
                  </a:ext>
                </a:extLst>
              </xdr:cNvPr>
              <xdr:cNvSpPr/>
            </xdr:nvSpPr>
            <xdr:spPr>
              <a:xfrm>
                <a:off x="7510696" y="0"/>
                <a:ext cx="1030879" cy="865425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69" name="CaixaDeTexto 168">
                <a:extLst>
                  <a:ext uri="{FF2B5EF4-FFF2-40B4-BE49-F238E27FC236}">
                    <a16:creationId xmlns:a16="http://schemas.microsoft.com/office/drawing/2014/main" id="{8A034474-B22C-0E3F-39D6-9F2DB63CFA25}"/>
                  </a:ext>
                </a:extLst>
              </xdr:cNvPr>
              <xdr:cNvSpPr txBox="1"/>
            </xdr:nvSpPr>
            <xdr:spPr>
              <a:xfrm>
                <a:off x="7613268" y="528204"/>
                <a:ext cx="825736" cy="28124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Geradores</a:t>
                </a:r>
              </a:p>
            </xdr:txBody>
          </xdr:sp>
        </xdr:grpSp>
        <xdr:pic>
          <xdr:nvPicPr>
            <xdr:cNvPr id="167" name="Imagem 166">
              <a:extLst>
                <a:ext uri="{FF2B5EF4-FFF2-40B4-BE49-F238E27FC236}">
                  <a16:creationId xmlns:a16="http://schemas.microsoft.com/office/drawing/2014/main" id="{61AF3C01-11E4-19AB-DA31-1B88019C247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7442" b="17857"/>
            <a:stretch/>
          </xdr:blipFill>
          <xdr:spPr>
            <a:xfrm>
              <a:off x="10084273" y="2065565"/>
              <a:ext cx="658281" cy="424542"/>
            </a:xfrm>
            <a:prstGeom prst="rect">
              <a:avLst/>
            </a:prstGeom>
          </xdr:spPr>
        </xdr:pic>
      </xdr:grpSp>
      <xdr:grpSp>
        <xdr:nvGrpSpPr>
          <xdr:cNvPr id="131" name="Agrupar 130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8EF638F-ACD0-ECDA-5EEC-3EB6CF0DCD03}"/>
              </a:ext>
            </a:extLst>
          </xdr:cNvPr>
          <xdr:cNvGrpSpPr>
            <a:grpSpLocks noChangeAspect="1"/>
          </xdr:cNvGrpSpPr>
        </xdr:nvGrpSpPr>
        <xdr:grpSpPr>
          <a:xfrm>
            <a:off x="5185521" y="2744189"/>
            <a:ext cx="1035030" cy="858721"/>
            <a:chOff x="10613252" y="3484008"/>
            <a:chExt cx="1034639" cy="863203"/>
          </a:xfrm>
        </xdr:grpSpPr>
        <xdr:grpSp>
          <xdr:nvGrpSpPr>
            <xdr:cNvPr id="162" name="Agrupar 161">
              <a:extLst>
                <a:ext uri="{FF2B5EF4-FFF2-40B4-BE49-F238E27FC236}">
                  <a16:creationId xmlns:a16="http://schemas.microsoft.com/office/drawing/2014/main" id="{82581790-C8D6-5E30-F62E-41E71B0CA5FF}"/>
                </a:ext>
              </a:extLst>
            </xdr:cNvPr>
            <xdr:cNvGrpSpPr/>
          </xdr:nvGrpSpPr>
          <xdr:grpSpPr>
            <a:xfrm>
              <a:off x="10613252" y="3484008"/>
              <a:ext cx="1034639" cy="863203"/>
              <a:chOff x="7510696" y="0"/>
              <a:chExt cx="1030879" cy="870672"/>
            </a:xfrm>
          </xdr:grpSpPr>
          <xdr:sp macro="" textlink="">
            <xdr:nvSpPr>
              <xdr:cNvPr id="164" name="Retângulo 163">
                <a:extLst>
                  <a:ext uri="{FF2B5EF4-FFF2-40B4-BE49-F238E27FC236}">
                    <a16:creationId xmlns:a16="http://schemas.microsoft.com/office/drawing/2014/main" id="{FECAB7BA-0684-CE2E-3D06-1FEB3542628D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65" name="CaixaDeTexto 164">
                <a:extLst>
                  <a:ext uri="{FF2B5EF4-FFF2-40B4-BE49-F238E27FC236}">
                    <a16:creationId xmlns:a16="http://schemas.microsoft.com/office/drawing/2014/main" id="{270A8628-A667-0CE6-E3ED-B1566D769A04}"/>
                  </a:ext>
                </a:extLst>
              </xdr:cNvPr>
              <xdr:cNvSpPr txBox="1"/>
            </xdr:nvSpPr>
            <xdr:spPr>
              <a:xfrm>
                <a:off x="7683765" y="528204"/>
                <a:ext cx="684741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Motores</a:t>
                </a:r>
              </a:p>
            </xdr:txBody>
          </xdr:sp>
        </xdr:grpSp>
        <xdr:pic>
          <xdr:nvPicPr>
            <xdr:cNvPr id="163" name="Imagem 162">
              <a:extLst>
                <a:ext uri="{FF2B5EF4-FFF2-40B4-BE49-F238E27FC236}">
                  <a16:creationId xmlns:a16="http://schemas.microsoft.com/office/drawing/2014/main" id="{0303E70E-B1DF-8C01-B882-2042042832C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6" cstate="print">
              <a:extLst>
                <a:ext uri="{BEBA8EAE-BF5A-486C-A8C5-ECC9F3942E4B}">
                  <a14:imgProps xmlns:a14="http://schemas.microsoft.com/office/drawing/2010/main">
                    <a14:imgLayer r:embed="rId3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5941" t="24859" r="25956" b="25771"/>
            <a:stretch/>
          </xdr:blipFill>
          <xdr:spPr>
            <a:xfrm>
              <a:off x="10884269" y="3540671"/>
              <a:ext cx="487145" cy="496851"/>
            </a:xfrm>
            <a:prstGeom prst="rect">
              <a:avLst/>
            </a:prstGeom>
          </xdr:spPr>
        </xdr:pic>
      </xdr:grpSp>
      <xdr:grpSp>
        <xdr:nvGrpSpPr>
          <xdr:cNvPr id="132" name="Agrupar 13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40B550B5-545B-33DE-9955-1F15B49DDF01}"/>
              </a:ext>
            </a:extLst>
          </xdr:cNvPr>
          <xdr:cNvGrpSpPr>
            <a:grpSpLocks noChangeAspect="1"/>
          </xdr:cNvGrpSpPr>
        </xdr:nvGrpSpPr>
        <xdr:grpSpPr>
          <a:xfrm>
            <a:off x="6213964" y="2742510"/>
            <a:ext cx="1031858" cy="860400"/>
            <a:chOff x="10744060" y="2050831"/>
            <a:chExt cx="1032640" cy="858001"/>
          </a:xfrm>
        </xdr:grpSpPr>
        <xdr:grpSp>
          <xdr:nvGrpSpPr>
            <xdr:cNvPr id="158" name="Agrupar 157">
              <a:extLst>
                <a:ext uri="{FF2B5EF4-FFF2-40B4-BE49-F238E27FC236}">
                  <a16:creationId xmlns:a16="http://schemas.microsoft.com/office/drawing/2014/main" id="{DCDB820E-7117-7FC6-6FF7-50E548F9A8CC}"/>
                </a:ext>
              </a:extLst>
            </xdr:cNvPr>
            <xdr:cNvGrpSpPr/>
          </xdr:nvGrpSpPr>
          <xdr:grpSpPr>
            <a:xfrm>
              <a:off x="10744060" y="2050831"/>
              <a:ext cx="1032640" cy="858001"/>
              <a:chOff x="7510696" y="0"/>
              <a:chExt cx="1030879" cy="865425"/>
            </a:xfrm>
          </xdr:grpSpPr>
          <xdr:sp macro="" textlink="">
            <xdr:nvSpPr>
              <xdr:cNvPr id="160" name="Retângulo 159">
                <a:extLst>
                  <a:ext uri="{FF2B5EF4-FFF2-40B4-BE49-F238E27FC236}">
                    <a16:creationId xmlns:a16="http://schemas.microsoft.com/office/drawing/2014/main" id="{2A118C0D-12D4-8B39-1915-D80464394ED9}"/>
                  </a:ext>
                </a:extLst>
              </xdr:cNvPr>
              <xdr:cNvSpPr/>
            </xdr:nvSpPr>
            <xdr:spPr>
              <a:xfrm>
                <a:off x="7510696" y="0"/>
                <a:ext cx="1030879" cy="865425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61" name="CaixaDeTexto 160">
                <a:extLst>
                  <a:ext uri="{FF2B5EF4-FFF2-40B4-BE49-F238E27FC236}">
                    <a16:creationId xmlns:a16="http://schemas.microsoft.com/office/drawing/2014/main" id="{CB80AE98-AEF2-C589-F416-795CAB52E153}"/>
                  </a:ext>
                </a:extLst>
              </xdr:cNvPr>
              <xdr:cNvSpPr txBox="1"/>
            </xdr:nvSpPr>
            <xdr:spPr>
              <a:xfrm>
                <a:off x="7532260" y="528204"/>
                <a:ext cx="987751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Y Barra (+) (-)</a:t>
                </a:r>
              </a:p>
            </xdr:txBody>
          </xdr:sp>
        </xdr:grpSp>
        <xdr:pic>
          <xdr:nvPicPr>
            <xdr:cNvPr id="159" name="Imagem 158">
              <a:extLst>
                <a:ext uri="{FF2B5EF4-FFF2-40B4-BE49-F238E27FC236}">
                  <a16:creationId xmlns:a16="http://schemas.microsoft.com/office/drawing/2014/main" id="{E87BD597-F8AC-A14E-6EB7-EE811446CD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BEBA8EAE-BF5A-486C-A8C5-ECC9F3942E4B}">
                  <a14:imgProps xmlns:a14="http://schemas.microsoft.com/office/drawing/2010/main">
                    <a14:imgLayer r:embed="rId2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77915" y="2064672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133" name="Agrupar 132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AE0060A-0FAE-8A97-2C94-460DB6E4A6D9}"/>
              </a:ext>
            </a:extLst>
          </xdr:cNvPr>
          <xdr:cNvGrpSpPr>
            <a:grpSpLocks noChangeAspect="1"/>
          </xdr:cNvGrpSpPr>
        </xdr:nvGrpSpPr>
        <xdr:grpSpPr>
          <a:xfrm>
            <a:off x="7239235" y="2736647"/>
            <a:ext cx="1024998" cy="866263"/>
            <a:chOff x="10744060" y="2050830"/>
            <a:chExt cx="1032640" cy="870836"/>
          </a:xfrm>
        </xdr:grpSpPr>
        <xdr:grpSp>
          <xdr:nvGrpSpPr>
            <xdr:cNvPr id="154" name="Agrupar 153">
              <a:extLst>
                <a:ext uri="{FF2B5EF4-FFF2-40B4-BE49-F238E27FC236}">
                  <a16:creationId xmlns:a16="http://schemas.microsoft.com/office/drawing/2014/main" id="{5F423C36-A61A-6971-ED52-27FD8B90C202}"/>
                </a:ext>
              </a:extLst>
            </xdr:cNvPr>
            <xdr:cNvGrpSpPr/>
          </xdr:nvGrpSpPr>
          <xdr:grpSpPr>
            <a:xfrm>
              <a:off x="10744060" y="2050830"/>
              <a:ext cx="1032640" cy="870836"/>
              <a:chOff x="7510696" y="-1"/>
              <a:chExt cx="1030879" cy="878371"/>
            </a:xfrm>
          </xdr:grpSpPr>
          <xdr:sp macro="" textlink="">
            <xdr:nvSpPr>
              <xdr:cNvPr id="156" name="Retângulo 155">
                <a:extLst>
                  <a:ext uri="{FF2B5EF4-FFF2-40B4-BE49-F238E27FC236}">
                    <a16:creationId xmlns:a16="http://schemas.microsoft.com/office/drawing/2014/main" id="{DB593494-269C-9E25-E3CC-E747712FE5B2}"/>
                  </a:ext>
                </a:extLst>
              </xdr:cNvPr>
              <xdr:cNvSpPr/>
            </xdr:nvSpPr>
            <xdr:spPr>
              <a:xfrm>
                <a:off x="7510696" y="-1"/>
                <a:ext cx="1030879" cy="878371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7" name="CaixaDeTexto 156">
                <a:extLst>
                  <a:ext uri="{FF2B5EF4-FFF2-40B4-BE49-F238E27FC236}">
                    <a16:creationId xmlns:a16="http://schemas.microsoft.com/office/drawing/2014/main" id="{EE07879F-C061-E765-7156-196BE628AB66}"/>
                  </a:ext>
                </a:extLst>
              </xdr:cNvPr>
              <xdr:cNvSpPr txBox="1"/>
            </xdr:nvSpPr>
            <xdr:spPr>
              <a:xfrm>
                <a:off x="7532260" y="528204"/>
                <a:ext cx="987751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Z Barra (+) (-)</a:t>
                </a:r>
              </a:p>
            </xdr:txBody>
          </xdr:sp>
        </xdr:grpSp>
        <xdr:pic>
          <xdr:nvPicPr>
            <xdr:cNvPr id="155" name="Imagem 154">
              <a:extLst>
                <a:ext uri="{FF2B5EF4-FFF2-40B4-BE49-F238E27FC236}">
                  <a16:creationId xmlns:a16="http://schemas.microsoft.com/office/drawing/2014/main" id="{5E228C77-C509-B5CA-9C0D-20515ABBD7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8" cstate="print">
              <a:extLst>
                <a:ext uri="{BEBA8EAE-BF5A-486C-A8C5-ECC9F3942E4B}">
                  <a14:imgProps xmlns:a14="http://schemas.microsoft.com/office/drawing/2010/main">
                    <a14:imgLayer r:embed="rId3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77915" y="2064672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134" name="Agrupar 1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9538650A-ABFC-7F5B-22CA-56AD908D2F2E}"/>
              </a:ext>
            </a:extLst>
          </xdr:cNvPr>
          <xdr:cNvGrpSpPr>
            <a:grpSpLocks noChangeAspect="1"/>
          </xdr:cNvGrpSpPr>
        </xdr:nvGrpSpPr>
        <xdr:grpSpPr>
          <a:xfrm>
            <a:off x="8257646" y="2737293"/>
            <a:ext cx="1026698" cy="865617"/>
            <a:chOff x="10666547" y="1933904"/>
            <a:chExt cx="1032640" cy="863203"/>
          </a:xfrm>
        </xdr:grpSpPr>
        <xdr:grpSp>
          <xdr:nvGrpSpPr>
            <xdr:cNvPr id="150" name="Agrupar 149">
              <a:extLst>
                <a:ext uri="{FF2B5EF4-FFF2-40B4-BE49-F238E27FC236}">
                  <a16:creationId xmlns:a16="http://schemas.microsoft.com/office/drawing/2014/main" id="{DE5669E0-3FF5-8C96-8C17-B1908F4D86E8}"/>
                </a:ext>
              </a:extLst>
            </xdr:cNvPr>
            <xdr:cNvGrpSpPr/>
          </xdr:nvGrpSpPr>
          <xdr:grpSpPr>
            <a:xfrm>
              <a:off x="10666547" y="1933904"/>
              <a:ext cx="1032640" cy="863203"/>
              <a:chOff x="7510696" y="0"/>
              <a:chExt cx="1030879" cy="870672"/>
            </a:xfrm>
          </xdr:grpSpPr>
          <xdr:sp macro="" textlink="">
            <xdr:nvSpPr>
              <xdr:cNvPr id="152" name="Retângulo 151">
                <a:extLst>
                  <a:ext uri="{FF2B5EF4-FFF2-40B4-BE49-F238E27FC236}">
                    <a16:creationId xmlns:a16="http://schemas.microsoft.com/office/drawing/2014/main" id="{BDEA674B-1AFC-AB26-5CA2-D822ABB51932}"/>
                  </a:ext>
                </a:extLst>
              </xdr:cNvPr>
              <xdr:cNvSpPr/>
            </xdr:nvSpPr>
            <xdr:spPr>
              <a:xfrm>
                <a:off x="751069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3" name="CaixaDeTexto 152">
                <a:extLst>
                  <a:ext uri="{FF2B5EF4-FFF2-40B4-BE49-F238E27FC236}">
                    <a16:creationId xmlns:a16="http://schemas.microsoft.com/office/drawing/2014/main" id="{B9F7FAE2-01A1-2E96-06CF-3C026781C8DF}"/>
                  </a:ext>
                </a:extLst>
              </xdr:cNvPr>
              <xdr:cNvSpPr txBox="1"/>
            </xdr:nvSpPr>
            <xdr:spPr>
              <a:xfrm>
                <a:off x="7616883" y="528204"/>
                <a:ext cx="818506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Y Barra (0)</a:t>
                </a:r>
              </a:p>
            </xdr:txBody>
          </xdr:sp>
        </xdr:grpSp>
        <xdr:pic>
          <xdr:nvPicPr>
            <xdr:cNvPr id="151" name="Imagem 150">
              <a:extLst>
                <a:ext uri="{FF2B5EF4-FFF2-40B4-BE49-F238E27FC236}">
                  <a16:creationId xmlns:a16="http://schemas.microsoft.com/office/drawing/2014/main" id="{CFFDF6BC-C11B-6C81-674F-FC666DBD6D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BEBA8EAE-BF5A-486C-A8C5-ECC9F3942E4B}">
                  <a14:imgProps xmlns:a14="http://schemas.microsoft.com/office/drawing/2010/main">
                    <a14:imgLayer r:embed="rId3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00402" y="1947745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135" name="Agrupar 134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DC2719B4-16C9-E794-B4F7-BD159BF68DF9}"/>
              </a:ext>
            </a:extLst>
          </xdr:cNvPr>
          <xdr:cNvGrpSpPr>
            <a:grpSpLocks noChangeAspect="1"/>
          </xdr:cNvGrpSpPr>
        </xdr:nvGrpSpPr>
        <xdr:grpSpPr>
          <a:xfrm>
            <a:off x="9277757" y="2736647"/>
            <a:ext cx="1028546" cy="866263"/>
            <a:chOff x="10666547" y="1933903"/>
            <a:chExt cx="1032640" cy="870836"/>
          </a:xfrm>
        </xdr:grpSpPr>
        <xdr:grpSp>
          <xdr:nvGrpSpPr>
            <xdr:cNvPr id="146" name="Agrupar 145">
              <a:extLst>
                <a:ext uri="{FF2B5EF4-FFF2-40B4-BE49-F238E27FC236}">
                  <a16:creationId xmlns:a16="http://schemas.microsoft.com/office/drawing/2014/main" id="{4B50B10E-1ED5-752D-31CF-6A91907B7E5C}"/>
                </a:ext>
              </a:extLst>
            </xdr:cNvPr>
            <xdr:cNvGrpSpPr/>
          </xdr:nvGrpSpPr>
          <xdr:grpSpPr>
            <a:xfrm>
              <a:off x="10666547" y="1933903"/>
              <a:ext cx="1032640" cy="870836"/>
              <a:chOff x="7510696" y="-1"/>
              <a:chExt cx="1030879" cy="878371"/>
            </a:xfrm>
          </xdr:grpSpPr>
          <xdr:sp macro="" textlink="">
            <xdr:nvSpPr>
              <xdr:cNvPr id="148" name="Retângulo 147">
                <a:extLst>
                  <a:ext uri="{FF2B5EF4-FFF2-40B4-BE49-F238E27FC236}">
                    <a16:creationId xmlns:a16="http://schemas.microsoft.com/office/drawing/2014/main" id="{EBDA20BE-6377-3C5A-45BE-6D6CFFBE5B12}"/>
                  </a:ext>
                </a:extLst>
              </xdr:cNvPr>
              <xdr:cNvSpPr/>
            </xdr:nvSpPr>
            <xdr:spPr>
              <a:xfrm>
                <a:off x="7510696" y="-1"/>
                <a:ext cx="1030879" cy="878371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9" name="CaixaDeTexto 148">
                <a:extLst>
                  <a:ext uri="{FF2B5EF4-FFF2-40B4-BE49-F238E27FC236}">
                    <a16:creationId xmlns:a16="http://schemas.microsoft.com/office/drawing/2014/main" id="{1D983544-F41F-2DB9-17C2-A47EA24CB750}"/>
                  </a:ext>
                </a:extLst>
              </xdr:cNvPr>
              <xdr:cNvSpPr txBox="1"/>
            </xdr:nvSpPr>
            <xdr:spPr>
              <a:xfrm>
                <a:off x="7616883" y="528204"/>
                <a:ext cx="815114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Z Barra (0)</a:t>
                </a:r>
              </a:p>
            </xdr:txBody>
          </xdr:sp>
        </xdr:grpSp>
        <xdr:pic>
          <xdr:nvPicPr>
            <xdr:cNvPr id="147" name="Imagem 146">
              <a:extLst>
                <a:ext uri="{FF2B5EF4-FFF2-40B4-BE49-F238E27FC236}">
                  <a16:creationId xmlns:a16="http://schemas.microsoft.com/office/drawing/2014/main" id="{AA00C8D2-117E-AD2F-3385-31CC820F8E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8" cstate="print">
              <a:extLst>
                <a:ext uri="{BEBA8EAE-BF5A-486C-A8C5-ECC9F3942E4B}">
                  <a14:imgProps xmlns:a14="http://schemas.microsoft.com/office/drawing/2010/main">
                    <a14:imgLayer r:embed="rId3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00402" y="1947745"/>
              <a:ext cx="564931" cy="564931"/>
            </a:xfrm>
            <a:prstGeom prst="rect">
              <a:avLst/>
            </a:prstGeom>
          </xdr:spPr>
        </xdr:pic>
      </xdr:grpSp>
      <xdr:grpSp>
        <xdr:nvGrpSpPr>
          <xdr:cNvPr id="136" name="Agrupar 135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E83586E5-93BD-4D7D-72E5-3C063A0FDCB7}"/>
              </a:ext>
            </a:extLst>
          </xdr:cNvPr>
          <xdr:cNvGrpSpPr>
            <a:grpSpLocks noChangeAspect="1"/>
          </xdr:cNvGrpSpPr>
        </xdr:nvGrpSpPr>
        <xdr:grpSpPr>
          <a:xfrm>
            <a:off x="10299716" y="2737293"/>
            <a:ext cx="1039596" cy="865617"/>
            <a:chOff x="7623418" y="2467632"/>
            <a:chExt cx="1034665" cy="863203"/>
          </a:xfrm>
        </xdr:grpSpPr>
        <xdr:grpSp>
          <xdr:nvGrpSpPr>
            <xdr:cNvPr id="142" name="Agrupar 141">
              <a:extLst>
                <a:ext uri="{FF2B5EF4-FFF2-40B4-BE49-F238E27FC236}">
                  <a16:creationId xmlns:a16="http://schemas.microsoft.com/office/drawing/2014/main" id="{4948D221-79F5-F73B-F910-5898D296135E}"/>
                </a:ext>
              </a:extLst>
            </xdr:cNvPr>
            <xdr:cNvGrpSpPr/>
          </xdr:nvGrpSpPr>
          <xdr:grpSpPr>
            <a:xfrm>
              <a:off x="7623418" y="2467632"/>
              <a:ext cx="1034665" cy="863203"/>
              <a:chOff x="7532966" y="0"/>
              <a:chExt cx="1030879" cy="870672"/>
            </a:xfrm>
          </xdr:grpSpPr>
          <xdr:sp macro="" textlink="">
            <xdr:nvSpPr>
              <xdr:cNvPr id="144" name="Retângulo 143">
                <a:extLst>
                  <a:ext uri="{FF2B5EF4-FFF2-40B4-BE49-F238E27FC236}">
                    <a16:creationId xmlns:a16="http://schemas.microsoft.com/office/drawing/2014/main" id="{B568CD23-8FCF-75D5-E6AC-5025406DF44B}"/>
                  </a:ext>
                </a:extLst>
              </xdr:cNvPr>
              <xdr:cNvSpPr/>
            </xdr:nvSpPr>
            <xdr:spPr>
              <a:xfrm>
                <a:off x="7532966" y="0"/>
                <a:ext cx="1030879" cy="870672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5" name="CaixaDeTexto 144">
                <a:extLst>
                  <a:ext uri="{FF2B5EF4-FFF2-40B4-BE49-F238E27FC236}">
                    <a16:creationId xmlns:a16="http://schemas.microsoft.com/office/drawing/2014/main" id="{538A4B79-571F-0602-48D2-707F8E34142C}"/>
                  </a:ext>
                </a:extLst>
              </xdr:cNvPr>
              <xdr:cNvSpPr txBox="1"/>
            </xdr:nvSpPr>
            <xdr:spPr>
              <a:xfrm>
                <a:off x="7679657" y="528204"/>
                <a:ext cx="737495" cy="28263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Relatório</a:t>
                </a:r>
              </a:p>
            </xdr:txBody>
          </xdr:sp>
        </xdr:grpSp>
        <xdr:pic>
          <xdr:nvPicPr>
            <xdr:cNvPr id="143" name="Imagem 142">
              <a:extLst>
                <a:ext uri="{FF2B5EF4-FFF2-40B4-BE49-F238E27FC236}">
                  <a16:creationId xmlns:a16="http://schemas.microsoft.com/office/drawing/2014/main" id="{30BFB0BF-F18C-F6CF-B0D5-A19B20E498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07552" y="2531069"/>
              <a:ext cx="466396" cy="466396"/>
            </a:xfrm>
            <a:prstGeom prst="rect">
              <a:avLst/>
            </a:prstGeom>
          </xdr:spPr>
        </xdr:pic>
      </xdr:grpSp>
      <xdr:grpSp>
        <xdr:nvGrpSpPr>
          <xdr:cNvPr id="137" name="Agrupar 136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6289FD58-675C-4241-62AA-EBAB25D9F4FB}"/>
              </a:ext>
            </a:extLst>
          </xdr:cNvPr>
          <xdr:cNvGrpSpPr>
            <a:grpSpLocks noChangeAspect="1"/>
          </xdr:cNvGrpSpPr>
        </xdr:nvGrpSpPr>
        <xdr:grpSpPr>
          <a:xfrm>
            <a:off x="11281441" y="2737294"/>
            <a:ext cx="1144588" cy="865616"/>
            <a:chOff x="7441106" y="2890839"/>
            <a:chExt cx="1139825" cy="868444"/>
          </a:xfrm>
        </xdr:grpSpPr>
        <xdr:grpSp>
          <xdr:nvGrpSpPr>
            <xdr:cNvPr id="138" name="Agrupar 137">
              <a:extLst>
                <a:ext uri="{FF2B5EF4-FFF2-40B4-BE49-F238E27FC236}">
                  <a16:creationId xmlns:a16="http://schemas.microsoft.com/office/drawing/2014/main" id="{6E5E29CB-9BE7-8772-521A-2C0B958140E6}"/>
                </a:ext>
              </a:extLst>
            </xdr:cNvPr>
            <xdr:cNvGrpSpPr/>
          </xdr:nvGrpSpPr>
          <xdr:grpSpPr>
            <a:xfrm>
              <a:off x="7441106" y="2890839"/>
              <a:ext cx="1139825" cy="868444"/>
              <a:chOff x="7519888" y="1"/>
              <a:chExt cx="1142799" cy="871996"/>
            </a:xfrm>
          </xdr:grpSpPr>
          <xdr:sp macro="" textlink="">
            <xdr:nvSpPr>
              <xdr:cNvPr id="140" name="Retângulo 139">
                <a:extLst>
                  <a:ext uri="{FF2B5EF4-FFF2-40B4-BE49-F238E27FC236}">
                    <a16:creationId xmlns:a16="http://schemas.microsoft.com/office/drawing/2014/main" id="{4CCC60D0-4C86-6FFA-E358-371D165C7F53}"/>
                  </a:ext>
                </a:extLst>
              </xdr:cNvPr>
              <xdr:cNvSpPr/>
            </xdr:nvSpPr>
            <xdr:spPr>
              <a:xfrm>
                <a:off x="7575848" y="1"/>
                <a:ext cx="1030879" cy="871996"/>
              </a:xfrm>
              <a:prstGeom prst="rect">
                <a:avLst/>
              </a:prstGeom>
              <a:solidFill>
                <a:srgbClr val="151316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1" name="CaixaDeTexto 140">
                <a:extLst>
                  <a:ext uri="{FF2B5EF4-FFF2-40B4-BE49-F238E27FC236}">
                    <a16:creationId xmlns:a16="http://schemas.microsoft.com/office/drawing/2014/main" id="{C156D9D3-2F44-E7A8-3C3A-34630047CE9E}"/>
                  </a:ext>
                </a:extLst>
              </xdr:cNvPr>
              <xdr:cNvSpPr txBox="1"/>
            </xdr:nvSpPr>
            <xdr:spPr>
              <a:xfrm>
                <a:off x="7519888" y="528204"/>
                <a:ext cx="1142799" cy="28135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200">
                    <a:solidFill>
                      <a:schemeClr val="bg1"/>
                    </a:solidFill>
                  </a:rPr>
                  <a:t>Gerar</a:t>
                </a:r>
                <a:r>
                  <a:rPr lang="pt-BR" sz="1200" baseline="0">
                    <a:solidFill>
                      <a:schemeClr val="bg1"/>
                    </a:solidFill>
                  </a:rPr>
                  <a:t> Diagrama</a:t>
                </a:r>
                <a:endParaRPr lang="pt-BR" sz="1200">
                  <a:solidFill>
                    <a:schemeClr val="bg1"/>
                  </a:solidFill>
                </a:endParaRPr>
              </a:p>
            </xdr:txBody>
          </xdr:sp>
        </xdr:grpSp>
        <xdr:pic>
          <xdr:nvPicPr>
            <xdr:cNvPr id="139" name="Imagem 138">
              <a:extLst>
                <a:ext uri="{FF2B5EF4-FFF2-40B4-BE49-F238E27FC236}">
                  <a16:creationId xmlns:a16="http://schemas.microsoft.com/office/drawing/2014/main" id="{64A9CAD4-E175-B1C4-5A2D-20ACE2E2984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0" cstate="print">
              <a:extLst>
                <a:ext uri="{BEBA8EAE-BF5A-486C-A8C5-ECC9F3942E4B}">
                  <a14:imgProps xmlns:a14="http://schemas.microsoft.com/office/drawing/2010/main">
                    <a14:imgLayer r:embed="rId4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757532" y="2922724"/>
              <a:ext cx="506973" cy="51222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190568</xdr:colOff>
      <xdr:row>15</xdr:row>
      <xdr:rowOff>38118</xdr:rowOff>
    </xdr:from>
    <xdr:to>
      <xdr:col>17</xdr:col>
      <xdr:colOff>3871</xdr:colOff>
      <xdr:row>19</xdr:row>
      <xdr:rowOff>68540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3C2B752-CD44-6A9E-A7F2-AF8A27C02834}"/>
            </a:ext>
          </a:extLst>
        </xdr:cNvPr>
        <xdr:cNvGrpSpPr/>
      </xdr:nvGrpSpPr>
      <xdr:grpSpPr>
        <a:xfrm>
          <a:off x="9298849" y="4181493"/>
          <a:ext cx="1027741" cy="869813"/>
          <a:chOff x="7510696" y="0"/>
          <a:chExt cx="1030879" cy="870672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ACACE61-507A-D6CE-5D67-6F418C23040C}"/>
              </a:ext>
            </a:extLst>
          </xdr:cNvPr>
          <xdr:cNvSpPr/>
        </xdr:nvSpPr>
        <xdr:spPr>
          <a:xfrm>
            <a:off x="7510696" y="0"/>
            <a:ext cx="1030879" cy="8706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79FE003-8432-D35C-A681-32C20D136733}"/>
              </a:ext>
            </a:extLst>
          </xdr:cNvPr>
          <xdr:cNvSpPr txBox="1"/>
        </xdr:nvSpPr>
        <xdr:spPr>
          <a:xfrm>
            <a:off x="7717637" y="517277"/>
            <a:ext cx="548204" cy="2819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rgbClr val="151316"/>
                </a:solidFill>
              </a:rPr>
              <a:t>Carga</a:t>
            </a:r>
          </a:p>
        </xdr:txBody>
      </xdr:sp>
    </xdr:grpSp>
    <xdr:clientData/>
  </xdr:twoCellAnchor>
  <xdr:twoCellAnchor>
    <xdr:from>
      <xdr:col>22</xdr:col>
      <xdr:colOff>253670</xdr:colOff>
      <xdr:row>10</xdr:row>
      <xdr:rowOff>190519</xdr:rowOff>
    </xdr:from>
    <xdr:to>
      <xdr:col>24</xdr:col>
      <xdr:colOff>63278</xdr:colOff>
      <xdr:row>14</xdr:row>
      <xdr:rowOff>143551</xdr:rowOff>
    </xdr:to>
    <xdr:grpSp>
      <xdr:nvGrpSpPr>
        <xdr:cNvPr id="193" name="Agrupar 192">
          <a:extLst>
            <a:ext uri="{FF2B5EF4-FFF2-40B4-BE49-F238E27FC236}">
              <a16:creationId xmlns:a16="http://schemas.microsoft.com/office/drawing/2014/main" id="{8642F26E-E575-491C-AEEA-D8300A1A17AD}"/>
            </a:ext>
          </a:extLst>
        </xdr:cNvPr>
        <xdr:cNvGrpSpPr/>
      </xdr:nvGrpSpPr>
      <xdr:grpSpPr>
        <a:xfrm>
          <a:off x="13612483" y="3149222"/>
          <a:ext cx="1024045" cy="869813"/>
          <a:chOff x="13258303" y="2940423"/>
          <a:chExt cx="1032127" cy="865427"/>
        </a:xfrm>
      </xdr:grpSpPr>
      <xdr:grpSp>
        <xdr:nvGrpSpPr>
          <xdr:cNvPr id="194" name="Agrupar 193">
            <a:extLst>
              <a:ext uri="{FF2B5EF4-FFF2-40B4-BE49-F238E27FC236}">
                <a16:creationId xmlns:a16="http://schemas.microsoft.com/office/drawing/2014/main" id="{A94972B7-8AC6-9B39-2590-EC13B361BFB7}"/>
              </a:ext>
            </a:extLst>
          </xdr:cNvPr>
          <xdr:cNvGrpSpPr/>
        </xdr:nvGrpSpPr>
        <xdr:grpSpPr>
          <a:xfrm>
            <a:off x="13258303" y="2940423"/>
            <a:ext cx="1032127" cy="865427"/>
            <a:chOff x="7510696" y="0"/>
            <a:chExt cx="1030879" cy="870672"/>
          </a:xfrm>
        </xdr:grpSpPr>
        <xdr:sp macro="" textlink="">
          <xdr:nvSpPr>
            <xdr:cNvPr id="196" name="Retângulo 195">
              <a:extLst>
                <a:ext uri="{FF2B5EF4-FFF2-40B4-BE49-F238E27FC236}">
                  <a16:creationId xmlns:a16="http://schemas.microsoft.com/office/drawing/2014/main" id="{98D7F4E5-A082-E5D7-869B-EC0FAAC8A084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7" name="CaixaDeTexto 196">
              <a:extLst>
                <a:ext uri="{FF2B5EF4-FFF2-40B4-BE49-F238E27FC236}">
                  <a16:creationId xmlns:a16="http://schemas.microsoft.com/office/drawing/2014/main" id="{1FDCEC7A-2AA5-37A1-02F6-C3194E6B5459}"/>
                </a:ext>
              </a:extLst>
            </xdr:cNvPr>
            <xdr:cNvSpPr txBox="1"/>
          </xdr:nvSpPr>
          <xdr:spPr>
            <a:xfrm>
              <a:off x="7717637" y="517277"/>
              <a:ext cx="548204" cy="2819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Carga</a:t>
              </a:r>
            </a:p>
          </xdr:txBody>
        </xdr:sp>
      </xdr:grpSp>
      <xdr:cxnSp macro="">
        <xdr:nvCxnSpPr>
          <xdr:cNvPr id="195" name="Conector de Seta Reta 194">
            <a:extLst>
              <a:ext uri="{FF2B5EF4-FFF2-40B4-BE49-F238E27FC236}">
                <a16:creationId xmlns:a16="http://schemas.microsoft.com/office/drawing/2014/main" id="{B16743EA-3833-DD68-4741-502A25B2B445}"/>
              </a:ext>
            </a:extLst>
          </xdr:cNvPr>
          <xdr:cNvCxnSpPr/>
        </xdr:nvCxnSpPr>
        <xdr:spPr>
          <a:xfrm>
            <a:off x="13746669" y="3042396"/>
            <a:ext cx="0" cy="456198"/>
          </a:xfrm>
          <a:prstGeom prst="straightConnector1">
            <a:avLst/>
          </a:prstGeom>
          <a:ln w="76200">
            <a:solidFill>
              <a:srgbClr val="151316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71530</xdr:colOff>
      <xdr:row>20</xdr:row>
      <xdr:rowOff>159896</xdr:rowOff>
    </xdr:from>
    <xdr:to>
      <xdr:col>19</xdr:col>
      <xdr:colOff>490753</xdr:colOff>
      <xdr:row>25</xdr:row>
      <xdr:rowOff>70599</xdr:rowOff>
    </xdr:to>
    <xdr:grpSp>
      <xdr:nvGrpSpPr>
        <xdr:cNvPr id="198" name="Agrupar 197">
          <a:extLst>
            <a:ext uri="{FF2B5EF4-FFF2-40B4-BE49-F238E27FC236}">
              <a16:creationId xmlns:a16="http://schemas.microsoft.com/office/drawing/2014/main" id="{BC2F167A-C28E-0948-7137-0281B9B49E20}"/>
            </a:ext>
          </a:extLst>
        </xdr:cNvPr>
        <xdr:cNvGrpSpPr/>
      </xdr:nvGrpSpPr>
      <xdr:grpSpPr>
        <a:xfrm>
          <a:off x="11001468" y="5333162"/>
          <a:ext cx="1026441" cy="863203"/>
          <a:chOff x="11001468" y="5333162"/>
          <a:chExt cx="1026441" cy="863203"/>
        </a:xfrm>
      </xdr:grpSpPr>
      <xdr:grpSp>
        <xdr:nvGrpSpPr>
          <xdr:cNvPr id="189" name="Agrupar 188">
            <a:extLst>
              <a:ext uri="{FF2B5EF4-FFF2-40B4-BE49-F238E27FC236}">
                <a16:creationId xmlns:a16="http://schemas.microsoft.com/office/drawing/2014/main" id="{FEF334F2-7BA8-A55F-DA54-1CBCD41DB860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191" name="Retângulo 190">
              <a:extLst>
                <a:ext uri="{FF2B5EF4-FFF2-40B4-BE49-F238E27FC236}">
                  <a16:creationId xmlns:a16="http://schemas.microsoft.com/office/drawing/2014/main" id="{CE1AD4A7-A1FF-5734-E607-FA580C767436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2" name="CaixaDeTexto 191">
              <a:extLst>
                <a:ext uri="{FF2B5EF4-FFF2-40B4-BE49-F238E27FC236}">
                  <a16:creationId xmlns:a16="http://schemas.microsoft.com/office/drawing/2014/main" id="{625BE8F3-C7EF-1F06-C947-96DF0D090851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186" name="Conector de Seta Reta 185">
            <a:extLst>
              <a:ext uri="{FF2B5EF4-FFF2-40B4-BE49-F238E27FC236}">
                <a16:creationId xmlns:a16="http://schemas.microsoft.com/office/drawing/2014/main" id="{A1948C52-6ECB-B296-84AC-F167BE2AD3F5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129210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C0B61C4-B5ED-4EDB-A982-B9172E46A743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85725</xdr:colOff>
      <xdr:row>0</xdr:row>
      <xdr:rowOff>85725</xdr:rowOff>
    </xdr:from>
    <xdr:to>
      <xdr:col>1</xdr:col>
      <xdr:colOff>133994</xdr:colOff>
      <xdr:row>0</xdr:row>
      <xdr:rowOff>785130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C59554B0-55D2-419B-9D6C-3C03550A20FD}"/>
            </a:ext>
          </a:extLst>
        </xdr:cNvPr>
        <xdr:cNvSpPr/>
      </xdr:nvSpPr>
      <xdr:spPr>
        <a:xfrm rot="21430735">
          <a:off x="85725" y="85725"/>
          <a:ext cx="657869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130099</xdr:colOff>
      <xdr:row>0</xdr:row>
      <xdr:rowOff>129481</xdr:rowOff>
    </xdr:from>
    <xdr:to>
      <xdr:col>9</xdr:col>
      <xdr:colOff>242133</xdr:colOff>
      <xdr:row>0</xdr:row>
      <xdr:rowOff>722720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72D337F-6EE0-43C8-9AFC-4880750F19E1}"/>
            </a:ext>
          </a:extLst>
        </xdr:cNvPr>
        <xdr:cNvSpPr txBox="1"/>
      </xdr:nvSpPr>
      <xdr:spPr>
        <a:xfrm>
          <a:off x="739699" y="129481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11</xdr:col>
      <xdr:colOff>72311</xdr:colOff>
      <xdr:row>0</xdr:row>
      <xdr:rowOff>1379</xdr:rowOff>
    </xdr:from>
    <xdr:to>
      <xdr:col>12</xdr:col>
      <xdr:colOff>492305</xdr:colOff>
      <xdr:row>1</xdr:row>
      <xdr:rowOff>4000</xdr:rowOff>
    </xdr:to>
    <xdr:grpSp>
      <xdr:nvGrpSpPr>
        <xdr:cNvPr id="6" name="Agrupar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9281C3-DBC5-F2E0-5083-72F18A864215}"/>
            </a:ext>
          </a:extLst>
        </xdr:cNvPr>
        <xdr:cNvGrpSpPr>
          <a:grpSpLocks noChangeAspect="1"/>
        </xdr:cNvGrpSpPr>
      </xdr:nvGrpSpPr>
      <xdr:grpSpPr>
        <a:xfrm>
          <a:off x="7053576" y="1379"/>
          <a:ext cx="1025111" cy="865474"/>
          <a:chOff x="7411601" y="0"/>
          <a:chExt cx="1030879" cy="870672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E0CAF9CC-0E8C-108A-7A95-39AB9C81ADBE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69A6BC20-1A7B-9B2B-4ED7-752F682C211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DCBED9DE-B507-F93C-182A-0A9752F2DAF3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14</xdr:col>
      <xdr:colOff>305684</xdr:colOff>
      <xdr:row>0</xdr:row>
      <xdr:rowOff>7542</xdr:rowOff>
    </xdr:from>
    <xdr:to>
      <xdr:col>16</xdr:col>
      <xdr:colOff>117508</xdr:colOff>
      <xdr:row>1</xdr:row>
      <xdr:rowOff>4000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900FB8-74CF-881F-0750-F9F6ECC9ADD1}"/>
            </a:ext>
          </a:extLst>
        </xdr:cNvPr>
        <xdr:cNvGrpSpPr>
          <a:grpSpLocks noChangeAspect="1"/>
        </xdr:cNvGrpSpPr>
      </xdr:nvGrpSpPr>
      <xdr:grpSpPr>
        <a:xfrm>
          <a:off x="9102302" y="7542"/>
          <a:ext cx="1022059" cy="859311"/>
          <a:chOff x="10249990" y="1546698"/>
          <a:chExt cx="1026770" cy="863203"/>
        </a:xfrm>
      </xdr:grpSpPr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6C0F8232-5787-28B5-910F-A5FBA6959437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325E7594-BA64-B15F-DCDC-8FE9488145F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E9662600-0D00-B26A-FE32-513BC5B4D0A2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1963E41F-A4DE-07AA-0544-AF99C81971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390468</xdr:colOff>
      <xdr:row>0</xdr:row>
      <xdr:rowOff>0</xdr:rowOff>
    </xdr:from>
    <xdr:to>
      <xdr:col>14</xdr:col>
      <xdr:colOff>400196</xdr:colOff>
      <xdr:row>1</xdr:row>
      <xdr:rowOff>4000</xdr:rowOff>
    </xdr:to>
    <xdr:grpSp>
      <xdr:nvGrpSpPr>
        <xdr:cNvPr id="8" name="Agrupar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605516D-DEE1-B79A-9EBB-C50BA2F75C70}"/>
            </a:ext>
          </a:extLst>
        </xdr:cNvPr>
        <xdr:cNvGrpSpPr>
          <a:grpSpLocks noChangeAspect="1"/>
        </xdr:cNvGrpSpPr>
      </xdr:nvGrpSpPr>
      <xdr:grpSpPr>
        <a:xfrm>
          <a:off x="7976850" y="0"/>
          <a:ext cx="1219964" cy="866853"/>
          <a:chOff x="10965361" y="1520404"/>
          <a:chExt cx="1231803" cy="870836"/>
        </a:xfrm>
      </xdr:grpSpPr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3930A728-64FF-2F02-EF82-C612AEDD4A7D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56" name="Retângulo 55">
              <a:extLst>
                <a:ext uri="{FF2B5EF4-FFF2-40B4-BE49-F238E27FC236}">
                  <a16:creationId xmlns:a16="http://schemas.microsoft.com/office/drawing/2014/main" id="{2BC591C1-0A0C-A81C-F049-4F8A5177DE45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C18B0FE4-25C1-E22F-BC4C-C96B0429891C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0794B96-0CAB-F7A5-F444-6E8F918D7E4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110921</xdr:colOff>
      <xdr:row>0</xdr:row>
      <xdr:rowOff>5863</xdr:rowOff>
    </xdr:from>
    <xdr:to>
      <xdr:col>17</xdr:col>
      <xdr:colOff>532169</xdr:colOff>
      <xdr:row>1</xdr:row>
      <xdr:rowOff>4000</xdr:rowOff>
    </xdr:to>
    <xdr:grpSp>
      <xdr:nvGrpSpPr>
        <xdr:cNvPr id="10" name="Agrupar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A8F6F19-53D1-629B-BCB9-BFBA95AF4C14}"/>
            </a:ext>
          </a:extLst>
        </xdr:cNvPr>
        <xdr:cNvGrpSpPr>
          <a:grpSpLocks noChangeAspect="1"/>
        </xdr:cNvGrpSpPr>
      </xdr:nvGrpSpPr>
      <xdr:grpSpPr>
        <a:xfrm>
          <a:off x="10117774" y="5863"/>
          <a:ext cx="1026366" cy="860990"/>
          <a:chOff x="9899139" y="1970356"/>
          <a:chExt cx="1028548" cy="858001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43B866C4-D74C-90A9-AC3A-20E74D89F48F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id="{1EBF1C00-E829-96A5-F980-382A87A81B8A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357BB129-D04B-0A7C-9112-5151D1A8F8A8}"/>
                </a:ext>
              </a:extLst>
            </xdr:cNvPr>
            <xdr:cNvSpPr txBox="1"/>
          </xdr:nvSpPr>
          <xdr:spPr>
            <a:xfrm>
              <a:off x="7653296" y="528204"/>
              <a:ext cx="782626" cy="2818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F3EF96D4-0F66-0577-0468-021F488E5D1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334825</xdr:colOff>
      <xdr:row>0</xdr:row>
      <xdr:rowOff>5863</xdr:rowOff>
    </xdr:from>
    <xdr:to>
      <xdr:col>21</xdr:col>
      <xdr:colOff>145478</xdr:colOff>
      <xdr:row>1</xdr:row>
      <xdr:rowOff>4000</xdr:rowOff>
    </xdr:to>
    <xdr:grpSp>
      <xdr:nvGrpSpPr>
        <xdr:cNvPr id="12" name="Agrupar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367F758-4898-B9A3-C745-C5F4F4904463}"/>
            </a:ext>
          </a:extLst>
        </xdr:cNvPr>
        <xdr:cNvGrpSpPr>
          <a:grpSpLocks noChangeAspect="1"/>
        </xdr:cNvGrpSpPr>
      </xdr:nvGrpSpPr>
      <xdr:grpSpPr>
        <a:xfrm>
          <a:off x="12157031" y="5863"/>
          <a:ext cx="1020888" cy="860990"/>
          <a:chOff x="10744060" y="2050831"/>
          <a:chExt cx="1032640" cy="858001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7E8FED2E-67D1-64B9-86A2-46CCD61BA7D8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D1F4921B-07E3-3A82-BDF0-08058F8CF025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888D4636-73BA-3DD9-96B9-49DC7E3557E5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89C7638-2E63-9595-4BEB-D3887C7F6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138891</xdr:colOff>
      <xdr:row>0</xdr:row>
      <xdr:rowOff>0</xdr:rowOff>
    </xdr:from>
    <xdr:to>
      <xdr:col>22</xdr:col>
      <xdr:colOff>556294</xdr:colOff>
      <xdr:row>1</xdr:row>
      <xdr:rowOff>4000</xdr:rowOff>
    </xdr:to>
    <xdr:grpSp>
      <xdr:nvGrpSpPr>
        <xdr:cNvPr id="13" name="Agrupar 1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610215F6-73A9-BC4F-3B01-87AA79A6554F}"/>
            </a:ext>
          </a:extLst>
        </xdr:cNvPr>
        <xdr:cNvGrpSpPr>
          <a:grpSpLocks noChangeAspect="1"/>
        </xdr:cNvGrpSpPr>
      </xdr:nvGrpSpPr>
      <xdr:grpSpPr>
        <a:xfrm>
          <a:off x="13171332" y="0"/>
          <a:ext cx="1022521" cy="866853"/>
          <a:chOff x="10744060" y="2050830"/>
          <a:chExt cx="1032640" cy="870836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1A040DBA-7195-910B-B11A-06E5AFEE2D41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99F8CAC4-FDE5-E9CB-69C8-2D6B22AEBF78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AEEB13A1-578A-15B7-F0FC-E9EAF424B72F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3FBA7952-3E38-7429-99C6-82BB4513C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549707</xdr:colOff>
      <xdr:row>0</xdr:row>
      <xdr:rowOff>646</xdr:rowOff>
    </xdr:from>
    <xdr:to>
      <xdr:col>24</xdr:col>
      <xdr:colOff>357206</xdr:colOff>
      <xdr:row>1</xdr:row>
      <xdr:rowOff>4000</xdr:rowOff>
    </xdr:to>
    <xdr:grpSp>
      <xdr:nvGrpSpPr>
        <xdr:cNvPr id="14" name="Agrupar 1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9849B3E-5A83-562A-C404-0E7987CA915B}"/>
            </a:ext>
          </a:extLst>
        </xdr:cNvPr>
        <xdr:cNvGrpSpPr>
          <a:grpSpLocks noChangeAspect="1"/>
        </xdr:cNvGrpSpPr>
      </xdr:nvGrpSpPr>
      <xdr:grpSpPr>
        <a:xfrm>
          <a:off x="14187266" y="646"/>
          <a:ext cx="1017734" cy="866207"/>
          <a:chOff x="10666547" y="1933904"/>
          <a:chExt cx="1032640" cy="863203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24979D3D-1C1D-4E7E-EA05-FD1388EE5FB6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7428E19E-70C7-136A-CB95-0B685E792FD4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486B35B0-6F71-3826-30E7-E9CB606DF40C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2AB18B24-FC1D-B56E-2339-719A31A317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350619</xdr:colOff>
      <xdr:row>0</xdr:row>
      <xdr:rowOff>0</xdr:rowOff>
    </xdr:from>
    <xdr:to>
      <xdr:col>26</xdr:col>
      <xdr:colOff>157959</xdr:colOff>
      <xdr:row>1</xdr:row>
      <xdr:rowOff>4000</xdr:rowOff>
    </xdr:to>
    <xdr:grpSp>
      <xdr:nvGrpSpPr>
        <xdr:cNvPr id="15" name="Agrupar 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E98A1BB-DA63-677B-C30B-C9E9A943751D}"/>
            </a:ext>
          </a:extLst>
        </xdr:cNvPr>
        <xdr:cNvGrpSpPr>
          <a:grpSpLocks noChangeAspect="1"/>
        </xdr:cNvGrpSpPr>
      </xdr:nvGrpSpPr>
      <xdr:grpSpPr>
        <a:xfrm>
          <a:off x="15198413" y="0"/>
          <a:ext cx="1017575" cy="866853"/>
          <a:chOff x="10666547" y="1933903"/>
          <a:chExt cx="1032640" cy="870836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789DCDFC-24DC-8A01-597F-40837A8FA835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F44CDDD-9F46-49A9-EB3F-6022A5CF4382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7128646-13AF-8D68-315C-536AE06EEBB0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9CEE5C37-CC60-77D1-2994-5418A7F676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151372</xdr:colOff>
      <xdr:row>0</xdr:row>
      <xdr:rowOff>646</xdr:rowOff>
    </xdr:from>
    <xdr:to>
      <xdr:col>27</xdr:col>
      <xdr:colOff>583373</xdr:colOff>
      <xdr:row>1</xdr:row>
      <xdr:rowOff>4000</xdr:rowOff>
    </xdr:to>
    <xdr:grpSp>
      <xdr:nvGrpSpPr>
        <xdr:cNvPr id="16" name="Agrupar 1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8EA98862-D376-D860-B28D-69F971A425FD}"/>
            </a:ext>
          </a:extLst>
        </xdr:cNvPr>
        <xdr:cNvGrpSpPr>
          <a:grpSpLocks noChangeAspect="1"/>
        </xdr:cNvGrpSpPr>
      </xdr:nvGrpSpPr>
      <xdr:grpSpPr>
        <a:xfrm>
          <a:off x="16209401" y="646"/>
          <a:ext cx="1037119" cy="866207"/>
          <a:chOff x="7623418" y="2467632"/>
          <a:chExt cx="1034665" cy="863203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DB40A9C5-B3CB-934E-65EA-2AFC132D7D40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DBC33927-E0EF-A693-4E8A-73B3B8F17FC4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BDA1AA2A-CF5C-581A-E6DD-440B46673E24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75560C2-B2B8-4299-3621-3420CDED9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27</xdr:col>
      <xdr:colOff>525502</xdr:colOff>
      <xdr:row>0</xdr:row>
      <xdr:rowOff>647</xdr:rowOff>
    </xdr:from>
    <xdr:to>
      <xdr:col>29</xdr:col>
      <xdr:colOff>450890</xdr:colOff>
      <xdr:row>1</xdr:row>
      <xdr:rowOff>4000</xdr:rowOff>
    </xdr:to>
    <xdr:grpSp>
      <xdr:nvGrpSpPr>
        <xdr:cNvPr id="17" name="Agrupar 1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E6D43C72-D05A-76D9-0FEE-EE856419ABE3}"/>
            </a:ext>
          </a:extLst>
        </xdr:cNvPr>
        <xdr:cNvGrpSpPr>
          <a:grpSpLocks noChangeAspect="1"/>
        </xdr:cNvGrpSpPr>
      </xdr:nvGrpSpPr>
      <xdr:grpSpPr>
        <a:xfrm>
          <a:off x="17188649" y="647"/>
          <a:ext cx="1135623" cy="866206"/>
          <a:chOff x="7441106" y="2890839"/>
          <a:chExt cx="1139825" cy="868444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99FB71A-A5C7-0AA3-E27C-D9978BB05097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F963528D-B8FB-A53B-9B9E-B435563D4062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ED68F5FB-C623-E0A1-93BB-C620EBCC80F1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75174E31-8C98-A125-16F3-D0DBF89E7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257435</xdr:colOff>
      <xdr:row>0</xdr:row>
      <xdr:rowOff>1</xdr:rowOff>
    </xdr:from>
    <xdr:to>
      <xdr:col>11</xdr:col>
      <xdr:colOff>113966</xdr:colOff>
      <xdr:row>1</xdr:row>
      <xdr:rowOff>20269</xdr:rowOff>
    </xdr:to>
    <xdr:grpSp>
      <xdr:nvGrpSpPr>
        <xdr:cNvPr id="130" name="Agrupar 12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7823DC03-94A5-4526-B7A1-1EDF5FB9E88F}"/>
            </a:ext>
          </a:extLst>
        </xdr:cNvPr>
        <xdr:cNvGrpSpPr/>
      </xdr:nvGrpSpPr>
      <xdr:grpSpPr>
        <a:xfrm>
          <a:off x="6028464" y="1"/>
          <a:ext cx="1066767" cy="883121"/>
          <a:chOff x="8052741" y="2471157"/>
          <a:chExt cx="1082687" cy="917811"/>
        </a:xfrm>
      </xdr:grpSpPr>
      <xdr:grpSp>
        <xdr:nvGrpSpPr>
          <xdr:cNvPr id="131" name="Agrupar 130">
            <a:extLst>
              <a:ext uri="{FF2B5EF4-FFF2-40B4-BE49-F238E27FC236}">
                <a16:creationId xmlns:a16="http://schemas.microsoft.com/office/drawing/2014/main" id="{388028B6-CB5D-292D-C006-1A088DBAE8F8}"/>
              </a:ext>
            </a:extLst>
          </xdr:cNvPr>
          <xdr:cNvGrpSpPr/>
        </xdr:nvGrpSpPr>
        <xdr:grpSpPr>
          <a:xfrm>
            <a:off x="8052741" y="2471157"/>
            <a:ext cx="1082687" cy="917811"/>
            <a:chOff x="7519888" y="0"/>
            <a:chExt cx="1083194" cy="925752"/>
          </a:xfrm>
        </xdr:grpSpPr>
        <xdr:sp macro="" textlink="">
          <xdr:nvSpPr>
            <xdr:cNvPr id="133" name="Retângulo 132">
              <a:extLst>
                <a:ext uri="{FF2B5EF4-FFF2-40B4-BE49-F238E27FC236}">
                  <a16:creationId xmlns:a16="http://schemas.microsoft.com/office/drawing/2014/main" id="{FABBA8F6-6B38-1F41-C5EC-0BE18B5B79CA}"/>
                </a:ext>
              </a:extLst>
            </xdr:cNvPr>
            <xdr:cNvSpPr/>
          </xdr:nvSpPr>
          <xdr:spPr>
            <a:xfrm>
              <a:off x="7546045" y="0"/>
              <a:ext cx="1030879" cy="92575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4" name="CaixaDeTexto 133">
              <a:extLst>
                <a:ext uri="{FF2B5EF4-FFF2-40B4-BE49-F238E27FC236}">
                  <a16:creationId xmlns:a16="http://schemas.microsoft.com/office/drawing/2014/main" id="{6D33B28C-B2F4-CB17-3FBF-4D5E3CC06AD9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Configurações</a:t>
              </a:r>
            </a:p>
          </xdr:txBody>
        </xdr:sp>
      </xdr:grpSp>
      <xdr:pic>
        <xdr:nvPicPr>
          <xdr:cNvPr id="132" name="Imagem 131">
            <a:extLst>
              <a:ext uri="{FF2B5EF4-FFF2-40B4-BE49-F238E27FC236}">
                <a16:creationId xmlns:a16="http://schemas.microsoft.com/office/drawing/2014/main" id="{629B6ACB-FB85-709E-3FC2-455504ABA3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11</xdr:col>
      <xdr:colOff>380999</xdr:colOff>
      <xdr:row>0</xdr:row>
      <xdr:rowOff>842210</xdr:rowOff>
    </xdr:from>
    <xdr:to>
      <xdr:col>19</xdr:col>
      <xdr:colOff>229327</xdr:colOff>
      <xdr:row>1</xdr:row>
      <xdr:rowOff>463669</xdr:rowOff>
    </xdr:to>
    <xdr:sp macro="" textlink="">
      <xdr:nvSpPr>
        <xdr:cNvPr id="140" name="CaixaDeTexto 139">
          <a:extLst>
            <a:ext uri="{FF2B5EF4-FFF2-40B4-BE49-F238E27FC236}">
              <a16:creationId xmlns:a16="http://schemas.microsoft.com/office/drawing/2014/main" id="{AD602C21-2761-4898-B12F-3FECA81764F8}"/>
            </a:ext>
          </a:extLst>
        </xdr:cNvPr>
        <xdr:cNvSpPr txBox="1"/>
      </xdr:nvSpPr>
      <xdr:spPr>
        <a:xfrm>
          <a:off x="7429499" y="842210"/>
          <a:ext cx="4741170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Configurações Gerais da Simulação</a:t>
          </a:r>
        </a:p>
      </xdr:txBody>
    </xdr:sp>
    <xdr:clientData/>
  </xdr:twoCellAnchor>
  <xdr:twoCellAnchor>
    <xdr:from>
      <xdr:col>13</xdr:col>
      <xdr:colOff>547687</xdr:colOff>
      <xdr:row>24</xdr:row>
      <xdr:rowOff>190499</xdr:rowOff>
    </xdr:from>
    <xdr:to>
      <xdr:col>18</xdr:col>
      <xdr:colOff>0</xdr:colOff>
      <xdr:row>28</xdr:row>
      <xdr:rowOff>107155</xdr:rowOff>
    </xdr:to>
    <xdr:sp macro="[0]!EscolherEExecutarEXE" textlink="">
      <xdr:nvSpPr>
        <xdr:cNvPr id="9" name="Retângulo 8">
          <a:extLst>
            <a:ext uri="{FF2B5EF4-FFF2-40B4-BE49-F238E27FC236}">
              <a16:creationId xmlns:a16="http://schemas.microsoft.com/office/drawing/2014/main" id="{B4070E66-4BC8-FDF4-23E3-908166BBC386}"/>
            </a:ext>
          </a:extLst>
        </xdr:cNvPr>
        <xdr:cNvSpPr/>
      </xdr:nvSpPr>
      <xdr:spPr>
        <a:xfrm>
          <a:off x="8763000" y="6691312"/>
          <a:ext cx="2488406" cy="726281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RODAR SIMULAÇÃO</a:t>
          </a:r>
        </a:p>
      </xdr:txBody>
    </xdr:sp>
    <xdr:clientData/>
  </xdr:twoCellAnchor>
  <xdr:twoCellAnchor>
    <xdr:from>
      <xdr:col>17</xdr:col>
      <xdr:colOff>481262</xdr:colOff>
      <xdr:row>0</xdr:row>
      <xdr:rowOff>0</xdr:rowOff>
    </xdr:from>
    <xdr:to>
      <xdr:col>19</xdr:col>
      <xdr:colOff>284493</xdr:colOff>
      <xdr:row>1</xdr:row>
      <xdr:rowOff>940</xdr:rowOff>
    </xdr:to>
    <xdr:grpSp>
      <xdr:nvGrpSpPr>
        <xdr:cNvPr id="5" name="Agrupar 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73D247A3-3668-4C42-B5E9-0006DD0D3B84}"/>
            </a:ext>
          </a:extLst>
        </xdr:cNvPr>
        <xdr:cNvGrpSpPr/>
      </xdr:nvGrpSpPr>
      <xdr:grpSpPr>
        <a:xfrm>
          <a:off x="11093233" y="0"/>
          <a:ext cx="1013466" cy="863793"/>
          <a:chOff x="11001468" y="5333162"/>
          <a:chExt cx="1026441" cy="863203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8107C484-6978-8347-211C-C8E2D54F0906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3626630A-B4A8-BF92-D474-4C2AF89490E3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59FB2CDD-0CA4-BD05-7A86-92954A85514A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51" name="Conector de Seta Reta 50">
            <a:extLst>
              <a:ext uri="{FF2B5EF4-FFF2-40B4-BE49-F238E27FC236}">
                <a16:creationId xmlns:a16="http://schemas.microsoft.com/office/drawing/2014/main" id="{2DB123E8-3B50-9113-9D3D-1AFE44586768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7125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AF583F-D096-4359-AAF4-45951F9B36CD}"/>
            </a:ext>
          </a:extLst>
        </xdr:cNvPr>
        <xdr:cNvSpPr/>
      </xdr:nvSpPr>
      <xdr:spPr>
        <a:xfrm>
          <a:off x="0" y="0"/>
          <a:ext cx="3275704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67235</xdr:colOff>
      <xdr:row>0</xdr:row>
      <xdr:rowOff>89647</xdr:rowOff>
    </xdr:from>
    <xdr:to>
      <xdr:col>1</xdr:col>
      <xdr:colOff>386</xdr:colOff>
      <xdr:row>0</xdr:row>
      <xdr:rowOff>789052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3E087A8F-9868-4B02-AD0E-0EF2BC67368D}"/>
            </a:ext>
          </a:extLst>
        </xdr:cNvPr>
        <xdr:cNvSpPr/>
      </xdr:nvSpPr>
      <xdr:spPr>
        <a:xfrm rot="21430735">
          <a:off x="67235" y="89647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30</xdr:colOff>
      <xdr:row>0</xdr:row>
      <xdr:rowOff>133403</xdr:rowOff>
    </xdr:from>
    <xdr:to>
      <xdr:col>8</xdr:col>
      <xdr:colOff>367441</xdr:colOff>
      <xdr:row>0</xdr:row>
      <xdr:rowOff>726642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97B316B-10F6-4B71-A4BF-F56B36A47356}"/>
            </a:ext>
          </a:extLst>
        </xdr:cNvPr>
        <xdr:cNvSpPr txBox="1"/>
      </xdr:nvSpPr>
      <xdr:spPr>
        <a:xfrm>
          <a:off x="721925" y="133403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13</xdr:col>
      <xdr:colOff>546561</xdr:colOff>
      <xdr:row>0</xdr:row>
      <xdr:rowOff>7537</xdr:rowOff>
    </xdr:from>
    <xdr:to>
      <xdr:col>15</xdr:col>
      <xdr:colOff>367737</xdr:colOff>
      <xdr:row>1</xdr:row>
      <xdr:rowOff>3410</xdr:rowOff>
    </xdr:to>
    <xdr:grpSp>
      <xdr:nvGrpSpPr>
        <xdr:cNvPr id="7" name="Agrupar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5DC881-7BCA-E5AB-BA55-82CCFED271DE}"/>
            </a:ext>
          </a:extLst>
        </xdr:cNvPr>
        <xdr:cNvGrpSpPr>
          <a:grpSpLocks noChangeAspect="1"/>
        </xdr:cNvGrpSpPr>
      </xdr:nvGrpSpPr>
      <xdr:grpSpPr>
        <a:xfrm>
          <a:off x="9257967" y="7537"/>
          <a:ext cx="1031645" cy="859076"/>
          <a:chOff x="10249990" y="1546698"/>
          <a:chExt cx="1026770" cy="863203"/>
        </a:xfrm>
      </xdr:grpSpPr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F6841B7C-D73D-F9A7-EF16-296CFD8AC7FF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9CE2A869-4855-3688-8F97-0128483DCFAD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5A68731A-5BEA-3A8C-35B7-7EFBEA34C2C7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8C70BED-64DB-A855-9241-F6FB1F96C5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11275</xdr:colOff>
      <xdr:row>0</xdr:row>
      <xdr:rowOff>0</xdr:rowOff>
    </xdr:from>
    <xdr:to>
      <xdr:col>14</xdr:col>
      <xdr:colOff>30506</xdr:colOff>
      <xdr:row>1</xdr:row>
      <xdr:rowOff>3410</xdr:rowOff>
    </xdr:to>
    <xdr:grpSp>
      <xdr:nvGrpSpPr>
        <xdr:cNvPr id="8" name="Agrupar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AABFF2-F9EC-5447-2DB3-3FC26CE755C1}"/>
            </a:ext>
          </a:extLst>
        </xdr:cNvPr>
        <xdr:cNvGrpSpPr>
          <a:grpSpLocks noChangeAspect="1"/>
        </xdr:cNvGrpSpPr>
      </xdr:nvGrpSpPr>
      <xdr:grpSpPr>
        <a:xfrm>
          <a:off x="8117447" y="0"/>
          <a:ext cx="1229700" cy="866613"/>
          <a:chOff x="10965361" y="1520404"/>
          <a:chExt cx="1231803" cy="870836"/>
        </a:xfrm>
      </xdr:grpSpPr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76257C26-ABF5-8E43-0764-84A70F6DB792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56" name="Retângulo 55">
              <a:extLst>
                <a:ext uri="{FF2B5EF4-FFF2-40B4-BE49-F238E27FC236}">
                  <a16:creationId xmlns:a16="http://schemas.microsoft.com/office/drawing/2014/main" id="{7825B241-96E7-A55E-C739-72D15DA18297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859BCC91-F0DB-6785-0A65-507065A04348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CA4BB0DD-ECC4-91B9-3C60-073F6B6A51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228835</xdr:colOff>
      <xdr:row>0</xdr:row>
      <xdr:rowOff>0</xdr:rowOff>
    </xdr:from>
    <xdr:to>
      <xdr:col>10</xdr:col>
      <xdr:colOff>94213</xdr:colOff>
      <xdr:row>1</xdr:row>
      <xdr:rowOff>2032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B02694F-E0D6-93E4-B878-8AF26972A21A}"/>
            </a:ext>
          </a:extLst>
        </xdr:cNvPr>
        <xdr:cNvGrpSpPr>
          <a:grpSpLocks noChangeAspect="1"/>
        </xdr:cNvGrpSpPr>
      </xdr:nvGrpSpPr>
      <xdr:grpSpPr>
        <a:xfrm>
          <a:off x="5914069" y="0"/>
          <a:ext cx="1075847" cy="865235"/>
          <a:chOff x="8052741" y="2471157"/>
          <a:chExt cx="1082687" cy="863203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AC9B5519-8E05-ACAA-FD25-F0FF62E95456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EC80C1B5-7BB5-E1FC-7E5C-6C702AFB9E99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A431F53B-DCB0-4DCB-708B-C14DD014D0A7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21CECAE0-248E-4C43-F05B-B0C944E286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361077</xdr:colOff>
      <xdr:row>0</xdr:row>
      <xdr:rowOff>5859</xdr:rowOff>
    </xdr:from>
    <xdr:to>
      <xdr:col>17</xdr:col>
      <xdr:colOff>178024</xdr:colOff>
      <xdr:row>1</xdr:row>
      <xdr:rowOff>3410</xdr:rowOff>
    </xdr:to>
    <xdr:grpSp>
      <xdr:nvGrpSpPr>
        <xdr:cNvPr id="10" name="Agrupar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CBCDC5E-E3C9-3332-600D-345F4984EFDE}"/>
            </a:ext>
          </a:extLst>
        </xdr:cNvPr>
        <xdr:cNvGrpSpPr>
          <a:grpSpLocks noChangeAspect="1"/>
        </xdr:cNvGrpSpPr>
      </xdr:nvGrpSpPr>
      <xdr:grpSpPr>
        <a:xfrm>
          <a:off x="10282952" y="5859"/>
          <a:ext cx="1027416" cy="860754"/>
          <a:chOff x="9899139" y="1970356"/>
          <a:chExt cx="1028548" cy="858001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3F543D50-E6BA-9C05-7587-DA401283A467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id="{B1B43C35-8A3F-0EFE-D681-E4DF098B742E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2C02B0D6-64E7-4CB2-3784-4AFEEA0A1337}"/>
                </a:ext>
              </a:extLst>
            </xdr:cNvPr>
            <xdr:cNvSpPr txBox="1"/>
          </xdr:nvSpPr>
          <xdr:spPr>
            <a:xfrm>
              <a:off x="7643078" y="528204"/>
              <a:ext cx="777131" cy="282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FEDDD5EA-2563-75A9-F247-E7472979DAB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599510</xdr:colOff>
      <xdr:row>0</xdr:row>
      <xdr:rowOff>5859</xdr:rowOff>
    </xdr:from>
    <xdr:to>
      <xdr:col>20</xdr:col>
      <xdr:colOff>419503</xdr:colOff>
      <xdr:row>1</xdr:row>
      <xdr:rowOff>3410</xdr:rowOff>
    </xdr:to>
    <xdr:grpSp>
      <xdr:nvGrpSpPr>
        <xdr:cNvPr id="12" name="Agrupar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663BEA3-465A-8295-E55C-7F98691646BD}"/>
            </a:ext>
          </a:extLst>
        </xdr:cNvPr>
        <xdr:cNvGrpSpPr>
          <a:grpSpLocks noChangeAspect="1"/>
        </xdr:cNvGrpSpPr>
      </xdr:nvGrpSpPr>
      <xdr:grpSpPr>
        <a:xfrm>
          <a:off x="12337088" y="5859"/>
          <a:ext cx="1030462" cy="860754"/>
          <a:chOff x="10744060" y="2050831"/>
          <a:chExt cx="1032640" cy="858001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8E4D279F-4186-9259-4970-F191E550532B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FC7EE220-8292-E9D9-BD68-6340D299FC2C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C8C091A9-DD36-74C8-7EB3-21850DA4B1B3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663C56D-7836-0F3A-2E11-DB4C973B3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412844</xdr:colOff>
      <xdr:row>0</xdr:row>
      <xdr:rowOff>0</xdr:rowOff>
    </xdr:from>
    <xdr:to>
      <xdr:col>22</xdr:col>
      <xdr:colOff>225903</xdr:colOff>
      <xdr:row>1</xdr:row>
      <xdr:rowOff>3410</xdr:rowOff>
    </xdr:to>
    <xdr:grpSp>
      <xdr:nvGrpSpPr>
        <xdr:cNvPr id="13" name="Agrupar 1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12C36F8-B2CB-183D-7963-8A2850061298}"/>
            </a:ext>
          </a:extLst>
        </xdr:cNvPr>
        <xdr:cNvGrpSpPr>
          <a:grpSpLocks noChangeAspect="1"/>
        </xdr:cNvGrpSpPr>
      </xdr:nvGrpSpPr>
      <xdr:grpSpPr>
        <a:xfrm>
          <a:off x="13360891" y="0"/>
          <a:ext cx="1023528" cy="866613"/>
          <a:chOff x="10744060" y="2050830"/>
          <a:chExt cx="1032640" cy="870836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D9BEBE10-92BE-478D-0CF7-787927F9F95E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3E094C90-B339-E68C-BDBE-480EAB72F38A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39CC8096-E8AC-9D94-5DE9-AEBD5207B6B9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DE18C6A8-9689-46D6-9FC4-0F942A0BA0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219243</xdr:colOff>
      <xdr:row>0</xdr:row>
      <xdr:rowOff>646</xdr:rowOff>
    </xdr:from>
    <xdr:to>
      <xdr:col>24</xdr:col>
      <xdr:colOff>34020</xdr:colOff>
      <xdr:row>1</xdr:row>
      <xdr:rowOff>3410</xdr:rowOff>
    </xdr:to>
    <xdr:grpSp>
      <xdr:nvGrpSpPr>
        <xdr:cNvPr id="14" name="Agrupar 1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ECD853C-8AAA-2ECB-2528-A149E69F42EC}"/>
            </a:ext>
          </a:extLst>
        </xdr:cNvPr>
        <xdr:cNvGrpSpPr>
          <a:grpSpLocks noChangeAspect="1"/>
        </xdr:cNvGrpSpPr>
      </xdr:nvGrpSpPr>
      <xdr:grpSpPr>
        <a:xfrm>
          <a:off x="14377759" y="646"/>
          <a:ext cx="1025245" cy="865967"/>
          <a:chOff x="10666547" y="1933904"/>
          <a:chExt cx="1032640" cy="863203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73C139C1-6A3E-724D-B66B-2B475C6B6240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D9948580-9C72-9C86-D7B9-5390A28C664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76C8E0E5-D406-B680-23ED-55EEF433B8E3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BF6A06A2-C38B-401A-8F6D-8EE1A8D155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27361</xdr:colOff>
      <xdr:row>0</xdr:row>
      <xdr:rowOff>0</xdr:rowOff>
    </xdr:from>
    <xdr:to>
      <xdr:col>25</xdr:col>
      <xdr:colOff>455612</xdr:colOff>
      <xdr:row>1</xdr:row>
      <xdr:rowOff>3410</xdr:rowOff>
    </xdr:to>
    <xdr:grpSp>
      <xdr:nvGrpSpPr>
        <xdr:cNvPr id="15" name="Agrupar 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CDABBB0-9AAF-1DD7-C981-78777D50018E}"/>
            </a:ext>
          </a:extLst>
        </xdr:cNvPr>
        <xdr:cNvGrpSpPr>
          <a:grpSpLocks noChangeAspect="1"/>
        </xdr:cNvGrpSpPr>
      </xdr:nvGrpSpPr>
      <xdr:grpSpPr>
        <a:xfrm>
          <a:off x="15396345" y="0"/>
          <a:ext cx="1033486" cy="866613"/>
          <a:chOff x="10666547" y="1933903"/>
          <a:chExt cx="1032640" cy="870836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F5721078-01B3-D5E3-4A76-CC7125ED8B87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2A800188-08F3-AD18-2787-3634D2F5A945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771BE368-4BE8-9DFC-058F-182A83559170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A4CC227E-F3A9-8A27-3B4B-18EDEF5F5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448952</xdr:colOff>
      <xdr:row>0</xdr:row>
      <xdr:rowOff>646</xdr:rowOff>
    </xdr:from>
    <xdr:to>
      <xdr:col>27</xdr:col>
      <xdr:colOff>276767</xdr:colOff>
      <xdr:row>1</xdr:row>
      <xdr:rowOff>3410</xdr:rowOff>
    </xdr:to>
    <xdr:grpSp>
      <xdr:nvGrpSpPr>
        <xdr:cNvPr id="16" name="Agrupar 1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CAA1A978-56E7-6DE1-8F2C-C17A023A74BC}"/>
            </a:ext>
          </a:extLst>
        </xdr:cNvPr>
        <xdr:cNvGrpSpPr>
          <a:grpSpLocks noChangeAspect="1"/>
        </xdr:cNvGrpSpPr>
      </xdr:nvGrpSpPr>
      <xdr:grpSpPr>
        <a:xfrm>
          <a:off x="16423171" y="646"/>
          <a:ext cx="1038284" cy="865967"/>
          <a:chOff x="7623418" y="2467632"/>
          <a:chExt cx="1034665" cy="863203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E4B3DA54-564E-9A8E-E917-5676B8C02454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D985052D-8844-FCE9-CFAF-9F906DBBBB49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EEED4BA2-773C-93AE-0AB4-A1F083F7FA83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7FB3610-B192-0E67-FB03-A80E525543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27</xdr:col>
      <xdr:colOff>218259</xdr:colOff>
      <xdr:row>0</xdr:row>
      <xdr:rowOff>647</xdr:rowOff>
    </xdr:from>
    <xdr:to>
      <xdr:col>29</xdr:col>
      <xdr:colOff>152223</xdr:colOff>
      <xdr:row>1</xdr:row>
      <xdr:rowOff>3410</xdr:rowOff>
    </xdr:to>
    <xdr:grpSp>
      <xdr:nvGrpSpPr>
        <xdr:cNvPr id="17" name="Agrupar 1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16612C39-62D1-24EA-076C-261A5473FF50}"/>
            </a:ext>
          </a:extLst>
        </xdr:cNvPr>
        <xdr:cNvGrpSpPr>
          <a:grpSpLocks noChangeAspect="1"/>
        </xdr:cNvGrpSpPr>
      </xdr:nvGrpSpPr>
      <xdr:grpSpPr>
        <a:xfrm>
          <a:off x="17402947" y="647"/>
          <a:ext cx="1144432" cy="865966"/>
          <a:chOff x="7441106" y="2890839"/>
          <a:chExt cx="1139825" cy="868444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5ACB2C9-6A36-68F1-61DA-3D655192A240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C8FE7BD5-82F0-8849-5B67-D3E85466ED91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7691BDF5-CB78-DA43-EA0D-963D67388604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779D023-F004-B1A9-01DC-A5996FE9C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140367</xdr:colOff>
      <xdr:row>0</xdr:row>
      <xdr:rowOff>0</xdr:rowOff>
    </xdr:from>
    <xdr:to>
      <xdr:col>11</xdr:col>
      <xdr:colOff>560360</xdr:colOff>
      <xdr:row>1</xdr:row>
      <xdr:rowOff>6569</xdr:rowOff>
    </xdr:to>
    <xdr:grpSp>
      <xdr:nvGrpSpPr>
        <xdr:cNvPr id="65" name="Agrupar 6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514145D-D415-4AD4-815F-42128599DE70}"/>
            </a:ext>
          </a:extLst>
        </xdr:cNvPr>
        <xdr:cNvGrpSpPr/>
      </xdr:nvGrpSpPr>
      <xdr:grpSpPr>
        <a:xfrm>
          <a:off x="7036070" y="0"/>
          <a:ext cx="1025228" cy="869772"/>
          <a:chOff x="7444777" y="0"/>
          <a:chExt cx="1030879" cy="870672"/>
        </a:xfrm>
      </xdr:grpSpPr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3AAAEB96-C95D-0A76-0C39-74BA8A5CDD8E}"/>
              </a:ext>
            </a:extLst>
          </xdr:cNvPr>
          <xdr:cNvSpPr/>
        </xdr:nvSpPr>
        <xdr:spPr>
          <a:xfrm>
            <a:off x="7444777" y="0"/>
            <a:ext cx="1030879" cy="8706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4E629F26-3F1B-5EB3-FAB6-5335E102A10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saturation sat="98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69433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FA299E3B-1633-AE20-39A6-A32CD8674FAF}"/>
              </a:ext>
            </a:extLst>
          </xdr:cNvPr>
          <xdr:cNvSpPr txBox="1"/>
        </xdr:nvSpPr>
        <xdr:spPr>
          <a:xfrm>
            <a:off x="7470341" y="528204"/>
            <a:ext cx="980386" cy="2855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rgbClr val="151316"/>
                </a:solidFill>
              </a:rPr>
              <a:t>Barramentos</a:t>
            </a:r>
          </a:p>
        </xdr:txBody>
      </xdr:sp>
    </xdr:grpSp>
    <xdr:clientData fLocksWithSheet="0"/>
  </xdr:twoCellAnchor>
  <xdr:twoCellAnchor editAs="absolute">
    <xdr:from>
      <xdr:col>10</xdr:col>
      <xdr:colOff>160421</xdr:colOff>
      <xdr:row>1</xdr:row>
      <xdr:rowOff>0</xdr:rowOff>
    </xdr:from>
    <xdr:to>
      <xdr:col>15</xdr:col>
      <xdr:colOff>561804</xdr:colOff>
      <xdr:row>2</xdr:row>
      <xdr:rowOff>2459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991B522B-0571-4166-A900-9738730754ED}"/>
            </a:ext>
          </a:extLst>
        </xdr:cNvPr>
        <xdr:cNvSpPr txBox="1"/>
      </xdr:nvSpPr>
      <xdr:spPr>
        <a:xfrm>
          <a:off x="6888079" y="862263"/>
          <a:ext cx="3459409" cy="483722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5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Cadastro de Barramentos</a:t>
          </a:r>
        </a:p>
      </xdr:txBody>
    </xdr:sp>
    <xdr:clientData/>
  </xdr:twoCellAnchor>
  <xdr:twoCellAnchor>
    <xdr:from>
      <xdr:col>17</xdr:col>
      <xdr:colOff>180474</xdr:colOff>
      <xdr:row>0</xdr:row>
      <xdr:rowOff>0</xdr:rowOff>
    </xdr:from>
    <xdr:to>
      <xdr:col>18</xdr:col>
      <xdr:colOff>595309</xdr:colOff>
      <xdr:row>1</xdr:row>
      <xdr:rowOff>940</xdr:rowOff>
    </xdr:to>
    <xdr:grpSp>
      <xdr:nvGrpSpPr>
        <xdr:cNvPr id="5" name="Agrupar 4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23140DC-74AF-45FC-A55D-DC8EA3627BF1}"/>
            </a:ext>
          </a:extLst>
        </xdr:cNvPr>
        <xdr:cNvGrpSpPr/>
      </xdr:nvGrpSpPr>
      <xdr:grpSpPr>
        <a:xfrm>
          <a:off x="11312818" y="0"/>
          <a:ext cx="1020069" cy="864143"/>
          <a:chOff x="11001468" y="5333162"/>
          <a:chExt cx="1026441" cy="863203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8EDB3660-5CC7-E7EF-774E-A991FF5C9F48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A3DA4471-3D94-6EAC-0C0D-39A55C1161F0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9AE46D5D-69E6-6A2D-6514-EC0DDBF80495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62" name="Conector de Seta Reta 61">
            <a:extLst>
              <a:ext uri="{FF2B5EF4-FFF2-40B4-BE49-F238E27FC236}">
                <a16:creationId xmlns:a16="http://schemas.microsoft.com/office/drawing/2014/main" id="{1320B604-6DE1-BC31-A5BD-ACB44A9DF091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831052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4FE42FF1-A10A-49C9-9E54-D54AC6AEAC21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57978</xdr:colOff>
      <xdr:row>0</xdr:row>
      <xdr:rowOff>49696</xdr:rowOff>
    </xdr:from>
    <xdr:to>
      <xdr:col>0</xdr:col>
      <xdr:colOff>716563</xdr:colOff>
      <xdr:row>0</xdr:row>
      <xdr:rowOff>749101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B094AB5C-8D93-42E9-8078-3015ECEF8662}"/>
            </a:ext>
          </a:extLst>
        </xdr:cNvPr>
        <xdr:cNvSpPr/>
      </xdr:nvSpPr>
      <xdr:spPr>
        <a:xfrm rot="21430735">
          <a:off x="57978" y="49696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712668</xdr:colOff>
      <xdr:row>0</xdr:row>
      <xdr:rowOff>93452</xdr:rowOff>
    </xdr:from>
    <xdr:to>
      <xdr:col>5</xdr:col>
      <xdr:colOff>523912</xdr:colOff>
      <xdr:row>0</xdr:row>
      <xdr:rowOff>686691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26E1AC19-1AB8-4BFF-B964-0B919873AD06}"/>
            </a:ext>
          </a:extLst>
        </xdr:cNvPr>
        <xdr:cNvSpPr txBox="1"/>
      </xdr:nvSpPr>
      <xdr:spPr>
        <a:xfrm>
          <a:off x="712668" y="93452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6</xdr:col>
      <xdr:colOff>287487</xdr:colOff>
      <xdr:row>0</xdr:row>
      <xdr:rowOff>1379</xdr:rowOff>
    </xdr:from>
    <xdr:to>
      <xdr:col>7</xdr:col>
      <xdr:colOff>140623</xdr:colOff>
      <xdr:row>1</xdr:row>
      <xdr:rowOff>4000</xdr:rowOff>
    </xdr:to>
    <xdr:grpSp>
      <xdr:nvGrpSpPr>
        <xdr:cNvPr id="6" name="Agrupar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AF221A-1261-7565-8E9B-AABA208270C0}"/>
            </a:ext>
          </a:extLst>
        </xdr:cNvPr>
        <xdr:cNvGrpSpPr>
          <a:grpSpLocks noChangeAspect="1"/>
        </xdr:cNvGrpSpPr>
      </xdr:nvGrpSpPr>
      <xdr:grpSpPr>
        <a:xfrm>
          <a:off x="6984753" y="1379"/>
          <a:ext cx="1023917" cy="865824"/>
          <a:chOff x="7411601" y="0"/>
          <a:chExt cx="1030879" cy="870672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BD7EB684-F9AC-D9A3-718C-0B943240538B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77877D0-2AE0-5006-7FCF-A3D1545CF63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DE3EFBF2-4EFD-1230-F59A-A8689F15F288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7</xdr:col>
      <xdr:colOff>38923</xdr:colOff>
      <xdr:row>0</xdr:row>
      <xdr:rowOff>0</xdr:rowOff>
    </xdr:from>
    <xdr:to>
      <xdr:col>8</xdr:col>
      <xdr:colOff>495642</xdr:colOff>
      <xdr:row>1</xdr:row>
      <xdr:rowOff>4000</xdr:rowOff>
    </xdr:to>
    <xdr:grpSp>
      <xdr:nvGrpSpPr>
        <xdr:cNvPr id="8" name="Agrupar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6DD95BD-62C3-522D-9220-ABC109F4304B}"/>
            </a:ext>
          </a:extLst>
        </xdr:cNvPr>
        <xdr:cNvGrpSpPr>
          <a:grpSpLocks noChangeAspect="1"/>
        </xdr:cNvGrpSpPr>
      </xdr:nvGrpSpPr>
      <xdr:grpSpPr>
        <a:xfrm>
          <a:off x="7906970" y="0"/>
          <a:ext cx="1220703" cy="867203"/>
          <a:chOff x="10965361" y="1520404"/>
          <a:chExt cx="1231803" cy="870836"/>
        </a:xfrm>
      </xdr:grpSpPr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290DF788-C1BA-F679-8530-906EA8389C15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56" name="Retângulo 55">
              <a:extLst>
                <a:ext uri="{FF2B5EF4-FFF2-40B4-BE49-F238E27FC236}">
                  <a16:creationId xmlns:a16="http://schemas.microsoft.com/office/drawing/2014/main" id="{492DF5A2-046E-5F8F-F050-B55FF73E4653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6378B813-E954-E0F7-82E7-089059A9D1E0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35398E1E-2EA6-5E3B-C7A0-75B7654BD29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415873</xdr:colOff>
      <xdr:row>0</xdr:row>
      <xdr:rowOff>1379</xdr:rowOff>
    </xdr:from>
    <xdr:to>
      <xdr:col>6</xdr:col>
      <xdr:colOff>323334</xdr:colOff>
      <xdr:row>1</xdr:row>
      <xdr:rowOff>4000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64100A7-17CC-48A5-69DE-612AA6C5679A}"/>
            </a:ext>
          </a:extLst>
        </xdr:cNvPr>
        <xdr:cNvGrpSpPr>
          <a:grpSpLocks noChangeAspect="1"/>
        </xdr:cNvGrpSpPr>
      </xdr:nvGrpSpPr>
      <xdr:grpSpPr>
        <a:xfrm>
          <a:off x="5942357" y="1379"/>
          <a:ext cx="1078243" cy="865824"/>
          <a:chOff x="8052741" y="2471157"/>
          <a:chExt cx="1082687" cy="863203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8EC6AC3C-F41A-DAA8-5926-BE9E06453939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02A5DB68-DDF0-0EE1-2A59-48ADCE43C397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620A701B-77A4-6D7F-91C1-C9248184D238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5F6DC806-ED84-32BD-1821-92B3A2C5CE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660017</xdr:colOff>
      <xdr:row>0</xdr:row>
      <xdr:rowOff>5863</xdr:rowOff>
    </xdr:from>
    <xdr:to>
      <xdr:col>10</xdr:col>
      <xdr:colOff>648838</xdr:colOff>
      <xdr:row>1</xdr:row>
      <xdr:rowOff>4000</xdr:rowOff>
    </xdr:to>
    <xdr:grpSp>
      <xdr:nvGrpSpPr>
        <xdr:cNvPr id="10" name="Agrupar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6B56410-836E-E5BC-5C39-7B4F4C9F1F52}"/>
            </a:ext>
          </a:extLst>
        </xdr:cNvPr>
        <xdr:cNvGrpSpPr>
          <a:grpSpLocks noChangeAspect="1"/>
        </xdr:cNvGrpSpPr>
      </xdr:nvGrpSpPr>
      <xdr:grpSpPr>
        <a:xfrm>
          <a:off x="10056033" y="5863"/>
          <a:ext cx="1040539" cy="861340"/>
          <a:chOff x="9899139" y="1970356"/>
          <a:chExt cx="1028548" cy="858001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AA2FE20C-4134-758D-FE86-30B66BC504DE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id="{D2EBFE56-D28A-B93D-A6FE-DB0AE37458EC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7A7E62F9-7289-A713-6B1A-E32A2509CC74}"/>
                </a:ext>
              </a:extLst>
            </xdr:cNvPr>
            <xdr:cNvSpPr txBox="1"/>
          </xdr:nvSpPr>
          <xdr:spPr>
            <a:xfrm>
              <a:off x="7653151" y="528204"/>
              <a:ext cx="779819" cy="2818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43AF2DF-A1DF-ECD5-C456-D7E9CF9A513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625500</xdr:colOff>
      <xdr:row>0</xdr:row>
      <xdr:rowOff>5863</xdr:rowOff>
    </xdr:from>
    <xdr:to>
      <xdr:col>12</xdr:col>
      <xdr:colOff>540727</xdr:colOff>
      <xdr:row>1</xdr:row>
      <xdr:rowOff>4000</xdr:rowOff>
    </xdr:to>
    <xdr:grpSp>
      <xdr:nvGrpSpPr>
        <xdr:cNvPr id="12" name="Agrupar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67F694F-3FD5-C78B-540D-B4FFEF18D980}"/>
            </a:ext>
          </a:extLst>
        </xdr:cNvPr>
        <xdr:cNvGrpSpPr>
          <a:grpSpLocks noChangeAspect="1"/>
        </xdr:cNvGrpSpPr>
      </xdr:nvGrpSpPr>
      <xdr:grpSpPr>
        <a:xfrm>
          <a:off x="12124953" y="5863"/>
          <a:ext cx="1016555" cy="861340"/>
          <a:chOff x="10744060" y="2050831"/>
          <a:chExt cx="1032640" cy="858001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8C0646E4-0A0F-FF98-D4E6-C9BF12EE536E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91E3214C-51B1-8299-F5D3-C20E88C0972B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A5CD7E17-AFA7-C848-A359-FF08C6ED31F5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9632111-A856-5066-D00B-FB0959FE35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534149</xdr:colOff>
      <xdr:row>0</xdr:row>
      <xdr:rowOff>0</xdr:rowOff>
    </xdr:from>
    <xdr:to>
      <xdr:col>13</xdr:col>
      <xdr:colOff>463985</xdr:colOff>
      <xdr:row>1</xdr:row>
      <xdr:rowOff>4000</xdr:rowOff>
    </xdr:to>
    <xdr:grpSp>
      <xdr:nvGrpSpPr>
        <xdr:cNvPr id="13" name="Agrupar 1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C9DD4D7-E7FE-2FCB-4098-847D82AC5ED8}"/>
            </a:ext>
          </a:extLst>
        </xdr:cNvPr>
        <xdr:cNvGrpSpPr>
          <a:grpSpLocks noChangeAspect="1"/>
        </xdr:cNvGrpSpPr>
      </xdr:nvGrpSpPr>
      <xdr:grpSpPr>
        <a:xfrm>
          <a:off x="13134930" y="0"/>
          <a:ext cx="1031164" cy="867203"/>
          <a:chOff x="10744060" y="2050830"/>
          <a:chExt cx="1032640" cy="870836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3A1AD2A8-0823-3D33-A27D-DA520173823C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491E6428-EDAE-3A6F-65BA-C290AF5B4C74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187D5ACC-0E69-C319-E507-02D1C7228CDD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C51D1F0-2475-36A1-7DCC-9836B0B32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457407</xdr:colOff>
      <xdr:row>0</xdr:row>
      <xdr:rowOff>646</xdr:rowOff>
    </xdr:from>
    <xdr:to>
      <xdr:col>15</xdr:col>
      <xdr:colOff>269936</xdr:colOff>
      <xdr:row>1</xdr:row>
      <xdr:rowOff>4000</xdr:rowOff>
    </xdr:to>
    <xdr:grpSp>
      <xdr:nvGrpSpPr>
        <xdr:cNvPr id="14" name="Agrupar 1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40721F7-3E58-2E99-3904-19BB20925388}"/>
            </a:ext>
          </a:extLst>
        </xdr:cNvPr>
        <xdr:cNvGrpSpPr>
          <a:grpSpLocks noChangeAspect="1"/>
        </xdr:cNvGrpSpPr>
      </xdr:nvGrpSpPr>
      <xdr:grpSpPr>
        <a:xfrm>
          <a:off x="14159516" y="646"/>
          <a:ext cx="1022998" cy="866557"/>
          <a:chOff x="10666547" y="1933904"/>
          <a:chExt cx="1032640" cy="863203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A13FC4B7-E4A4-0334-9627-3B419BCB0DE4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AAA2D21B-8855-260F-FDD5-3E63F5DAC5CF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D8A38485-FD35-D88F-3BD3-D22C637E3A25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209147B-5539-7AFE-A7D7-577056972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263358</xdr:colOff>
      <xdr:row>0</xdr:row>
      <xdr:rowOff>0</xdr:rowOff>
    </xdr:from>
    <xdr:to>
      <xdr:col>17</xdr:col>
      <xdr:colOff>71240</xdr:colOff>
      <xdr:row>1</xdr:row>
      <xdr:rowOff>4000</xdr:rowOff>
    </xdr:to>
    <xdr:grpSp>
      <xdr:nvGrpSpPr>
        <xdr:cNvPr id="15" name="Agrupar 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99723CB-DA89-1D7A-4832-D3EFBA41DA4F}"/>
            </a:ext>
          </a:extLst>
        </xdr:cNvPr>
        <xdr:cNvGrpSpPr>
          <a:grpSpLocks noChangeAspect="1"/>
        </xdr:cNvGrpSpPr>
      </xdr:nvGrpSpPr>
      <xdr:grpSpPr>
        <a:xfrm>
          <a:off x="15175936" y="0"/>
          <a:ext cx="1018351" cy="867203"/>
          <a:chOff x="10666547" y="1933903"/>
          <a:chExt cx="1032640" cy="870836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C0530965-D004-9B2E-CD95-7CD1413347D6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43DC35A7-5597-04A4-C40A-A4BD99184083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5B19C27-DA17-0A84-D7B7-5FA14057524E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1B16C130-4B0A-192E-A549-3D96A83D9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64662</xdr:colOff>
      <xdr:row>0</xdr:row>
      <xdr:rowOff>646</xdr:rowOff>
    </xdr:from>
    <xdr:to>
      <xdr:col>18</xdr:col>
      <xdr:colOff>494282</xdr:colOff>
      <xdr:row>1</xdr:row>
      <xdr:rowOff>4000</xdr:rowOff>
    </xdr:to>
    <xdr:grpSp>
      <xdr:nvGrpSpPr>
        <xdr:cNvPr id="16" name="Agrupar 1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413F85-DA61-FA8C-804E-29BC90DABE72}"/>
            </a:ext>
          </a:extLst>
        </xdr:cNvPr>
        <xdr:cNvGrpSpPr>
          <a:grpSpLocks noChangeAspect="1"/>
        </xdr:cNvGrpSpPr>
      </xdr:nvGrpSpPr>
      <xdr:grpSpPr>
        <a:xfrm>
          <a:off x="16187709" y="646"/>
          <a:ext cx="1034854" cy="866557"/>
          <a:chOff x="7623418" y="2467632"/>
          <a:chExt cx="1034665" cy="863203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4C3A049-DF98-AB52-5831-849994168472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2894AF5D-FBD8-75FB-8E2C-69EBFDD1BBDB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6115C173-DFD4-8125-A1E2-01AFA5960052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AB422C0C-8940-9ABB-37B7-BEBD0B8AAE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436488</xdr:colOff>
      <xdr:row>0</xdr:row>
      <xdr:rowOff>647</xdr:rowOff>
    </xdr:from>
    <xdr:to>
      <xdr:col>20</xdr:col>
      <xdr:colOff>356335</xdr:colOff>
      <xdr:row>1</xdr:row>
      <xdr:rowOff>4000</xdr:rowOff>
    </xdr:to>
    <xdr:grpSp>
      <xdr:nvGrpSpPr>
        <xdr:cNvPr id="17" name="Agrupar 1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27FC3E3-E227-8B80-E620-4982A507A8AC}"/>
            </a:ext>
          </a:extLst>
        </xdr:cNvPr>
        <xdr:cNvGrpSpPr>
          <a:grpSpLocks noChangeAspect="1"/>
        </xdr:cNvGrpSpPr>
      </xdr:nvGrpSpPr>
      <xdr:grpSpPr>
        <a:xfrm>
          <a:off x="17164769" y="647"/>
          <a:ext cx="1130316" cy="866556"/>
          <a:chOff x="7441106" y="2890839"/>
          <a:chExt cx="1139825" cy="868444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849489F-2A13-114C-9F4A-D1E67623F7AC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F3FBEC15-A137-D298-BF64-D2E583BB5B45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F5FA7068-565D-7C5F-137B-89B8B7E66163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5BD34D29-63B7-6AD1-5128-803AAEF7B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457877</xdr:colOff>
      <xdr:row>0</xdr:row>
      <xdr:rowOff>0</xdr:rowOff>
    </xdr:from>
    <xdr:to>
      <xdr:col>9</xdr:col>
      <xdr:colOff>725592</xdr:colOff>
      <xdr:row>1</xdr:row>
      <xdr:rowOff>12883</xdr:rowOff>
    </xdr:to>
    <xdr:grpSp>
      <xdr:nvGrpSpPr>
        <xdr:cNvPr id="70" name="Agrupar 6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79E8F4E2-1A92-4F57-8B99-8CF03A08145D}"/>
            </a:ext>
          </a:extLst>
        </xdr:cNvPr>
        <xdr:cNvGrpSpPr/>
      </xdr:nvGrpSpPr>
      <xdr:grpSpPr>
        <a:xfrm>
          <a:off x="9089908" y="0"/>
          <a:ext cx="1031700" cy="876086"/>
          <a:chOff x="10249990" y="1546698"/>
          <a:chExt cx="1026770" cy="863203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F655B6B3-6592-EC5A-6D3A-7F62253B9470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id="{9BC7AB25-25B3-EA28-E140-D87C516FBF9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6CB8F8A2-6F15-CE97-0EBD-AEE79BC7F7C7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Linhas</a:t>
              </a:r>
            </a:p>
          </xdr:txBody>
        </xdr:sp>
      </xdr:grpSp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F920851C-0F19-F2C1-2033-ED6957DDFF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sharpenSoften amoun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6</xdr:col>
      <xdr:colOff>436363</xdr:colOff>
      <xdr:row>0</xdr:row>
      <xdr:rowOff>842211</xdr:rowOff>
    </xdr:from>
    <xdr:to>
      <xdr:col>11</xdr:col>
      <xdr:colOff>346019</xdr:colOff>
      <xdr:row>1</xdr:row>
      <xdr:rowOff>463670</xdr:rowOff>
    </xdr:to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8BDE55D5-508D-400D-93DE-85EF2DD59184}"/>
            </a:ext>
          </a:extLst>
        </xdr:cNvPr>
        <xdr:cNvSpPr txBox="1"/>
      </xdr:nvSpPr>
      <xdr:spPr>
        <a:xfrm>
          <a:off x="7118684" y="842211"/>
          <a:ext cx="4709879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Linhas de Transmissão</a:t>
          </a:r>
        </a:p>
      </xdr:txBody>
    </xdr:sp>
    <xdr:clientData/>
  </xdr:twoCellAnchor>
  <xdr:twoCellAnchor editAs="absolute">
    <xdr:from>
      <xdr:col>10</xdr:col>
      <xdr:colOff>586540</xdr:colOff>
      <xdr:row>0</xdr:row>
      <xdr:rowOff>0</xdr:rowOff>
    </xdr:from>
    <xdr:to>
      <xdr:col>11</xdr:col>
      <xdr:colOff>565231</xdr:colOff>
      <xdr:row>1</xdr:row>
      <xdr:rowOff>940</xdr:rowOff>
    </xdr:to>
    <xdr:grpSp>
      <xdr:nvGrpSpPr>
        <xdr:cNvPr id="5" name="Agrupar 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8D3BCDED-213A-4849-9F6C-15DAF527409A}"/>
            </a:ext>
          </a:extLst>
        </xdr:cNvPr>
        <xdr:cNvGrpSpPr/>
      </xdr:nvGrpSpPr>
      <xdr:grpSpPr>
        <a:xfrm>
          <a:off x="11034274" y="0"/>
          <a:ext cx="1030410" cy="864143"/>
          <a:chOff x="11001468" y="5333162"/>
          <a:chExt cx="1026441" cy="863203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CC1B950F-C5A7-ED43-33B8-17C5B115E47A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id="{FB9151C3-27FE-F8A5-7045-602B7512AE5A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" name="CaixaDeTexto 59">
              <a:extLst>
                <a:ext uri="{FF2B5EF4-FFF2-40B4-BE49-F238E27FC236}">
                  <a16:creationId xmlns:a16="http://schemas.microsoft.com/office/drawing/2014/main" id="{6E602515-C6AB-18A5-443F-98A5E31AAF77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58" name="Conector de Seta Reta 57">
            <a:extLst>
              <a:ext uri="{FF2B5EF4-FFF2-40B4-BE49-F238E27FC236}">
                <a16:creationId xmlns:a16="http://schemas.microsoft.com/office/drawing/2014/main" id="{83C437A8-877A-8C11-45F8-9D16D7B89D95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600447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EF7AD8B0-19C6-4E62-BDE6-3E5264600F6C}"/>
            </a:ext>
          </a:extLst>
        </xdr:cNvPr>
        <xdr:cNvSpPr/>
      </xdr:nvSpPr>
      <xdr:spPr>
        <a:xfrm>
          <a:off x="0" y="0"/>
          <a:ext cx="5553447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112058</xdr:colOff>
      <xdr:row>0</xdr:row>
      <xdr:rowOff>67236</xdr:rowOff>
    </xdr:from>
    <xdr:to>
      <xdr:col>1</xdr:col>
      <xdr:colOff>38722</xdr:colOff>
      <xdr:row>0</xdr:row>
      <xdr:rowOff>766641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BA7164A1-F492-40B8-9ADF-FF647E6581CB}"/>
            </a:ext>
          </a:extLst>
        </xdr:cNvPr>
        <xdr:cNvSpPr/>
      </xdr:nvSpPr>
      <xdr:spPr>
        <a:xfrm rot="21430735">
          <a:off x="112058" y="67236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34827</xdr:colOff>
      <xdr:row>0</xdr:row>
      <xdr:rowOff>110992</xdr:rowOff>
    </xdr:from>
    <xdr:to>
      <xdr:col>5</xdr:col>
      <xdr:colOff>123269</xdr:colOff>
      <xdr:row>0</xdr:row>
      <xdr:rowOff>704231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2321E28E-4B43-4AD1-B051-C2DB260F43F4}"/>
            </a:ext>
          </a:extLst>
        </xdr:cNvPr>
        <xdr:cNvSpPr txBox="1"/>
      </xdr:nvSpPr>
      <xdr:spPr>
        <a:xfrm>
          <a:off x="766748" y="110992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5</xdr:col>
      <xdr:colOff>1092758</xdr:colOff>
      <xdr:row>0</xdr:row>
      <xdr:rowOff>1379</xdr:rowOff>
    </xdr:from>
    <xdr:to>
      <xdr:col>6</xdr:col>
      <xdr:colOff>314779</xdr:colOff>
      <xdr:row>1</xdr:row>
      <xdr:rowOff>4000</xdr:rowOff>
    </xdr:to>
    <xdr:grpSp>
      <xdr:nvGrpSpPr>
        <xdr:cNvPr id="6" name="Agrupar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0F6E15-D56D-F360-E10B-710D94898565}"/>
            </a:ext>
          </a:extLst>
        </xdr:cNvPr>
        <xdr:cNvGrpSpPr>
          <a:grpSpLocks noChangeAspect="1"/>
        </xdr:cNvGrpSpPr>
      </xdr:nvGrpSpPr>
      <xdr:grpSpPr>
        <a:xfrm>
          <a:off x="7045883" y="1379"/>
          <a:ext cx="1017880" cy="865824"/>
          <a:chOff x="7411601" y="0"/>
          <a:chExt cx="1030879" cy="870672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66F7B31D-14E8-5DA2-A66E-A41866DA1D33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C4A9C467-F1F4-6207-C016-5F4A27776B2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511E8B5E-FC09-9E2D-4DD3-7EAEDC17AA57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7</xdr:col>
      <xdr:colOff>584522</xdr:colOff>
      <xdr:row>0</xdr:row>
      <xdr:rowOff>7542</xdr:rowOff>
    </xdr:from>
    <xdr:to>
      <xdr:col>8</xdr:col>
      <xdr:colOff>854715</xdr:colOff>
      <xdr:row>1</xdr:row>
      <xdr:rowOff>4000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68EB70-CA07-11E1-3157-D737F456260E}"/>
            </a:ext>
          </a:extLst>
        </xdr:cNvPr>
        <xdr:cNvGrpSpPr>
          <a:grpSpLocks noChangeAspect="1"/>
        </xdr:cNvGrpSpPr>
      </xdr:nvGrpSpPr>
      <xdr:grpSpPr>
        <a:xfrm>
          <a:off x="9097491" y="7542"/>
          <a:ext cx="1034177" cy="859661"/>
          <a:chOff x="10249990" y="1546698"/>
          <a:chExt cx="1026770" cy="863203"/>
        </a:xfrm>
      </xdr:grpSpPr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84A6A5A7-8B27-27BD-A83A-9247AB78DB0A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D3DD6F4B-749F-EBC3-DF98-21AB5D58918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FC2C067C-5D71-653D-9D93-BEB51C1DA5FF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9483663C-5242-A0A0-24BB-4EF4FF823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52747</xdr:colOff>
      <xdr:row>0</xdr:row>
      <xdr:rowOff>1379</xdr:rowOff>
    </xdr:from>
    <xdr:to>
      <xdr:col>5</xdr:col>
      <xdr:colOff>1128624</xdr:colOff>
      <xdr:row>1</xdr:row>
      <xdr:rowOff>4000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518B6F-933C-C2E7-5431-C1A6D1A834D1}"/>
            </a:ext>
          </a:extLst>
        </xdr:cNvPr>
        <xdr:cNvGrpSpPr>
          <a:grpSpLocks noChangeAspect="1"/>
        </xdr:cNvGrpSpPr>
      </xdr:nvGrpSpPr>
      <xdr:grpSpPr>
        <a:xfrm>
          <a:off x="6005872" y="1379"/>
          <a:ext cx="1075877" cy="865824"/>
          <a:chOff x="8052741" y="2471157"/>
          <a:chExt cx="1082687" cy="863203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33273DA1-95A3-5FE1-8345-100497E58D34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C67E792C-0037-8186-71A7-33D57755200E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F1A2BFF1-0EEE-171F-B03F-8C5716EC25A2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891242C-4FD9-AA24-53CE-D4D74F0324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848134</xdr:colOff>
      <xdr:row>0</xdr:row>
      <xdr:rowOff>5863</xdr:rowOff>
    </xdr:from>
    <xdr:to>
      <xdr:col>10</xdr:col>
      <xdr:colOff>134573</xdr:colOff>
      <xdr:row>1</xdr:row>
      <xdr:rowOff>4000</xdr:rowOff>
    </xdr:to>
    <xdr:grpSp>
      <xdr:nvGrpSpPr>
        <xdr:cNvPr id="10" name="Agrupar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FA8DC1F-4C41-1449-D3BD-F4984B7AAA55}"/>
            </a:ext>
          </a:extLst>
        </xdr:cNvPr>
        <xdr:cNvGrpSpPr>
          <a:grpSpLocks noChangeAspect="1"/>
        </xdr:cNvGrpSpPr>
      </xdr:nvGrpSpPr>
      <xdr:grpSpPr>
        <a:xfrm>
          <a:off x="10125087" y="5863"/>
          <a:ext cx="1022767" cy="861340"/>
          <a:chOff x="9899139" y="1970356"/>
          <a:chExt cx="1028548" cy="858001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BC507238-CACD-9A61-C6A1-3D73AA8DA205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id="{4ADE8423-1270-D588-BC66-6BC946A1049D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64188056-9EF7-1E4D-42C7-C809CE76646F}"/>
                </a:ext>
              </a:extLst>
            </xdr:cNvPr>
            <xdr:cNvSpPr txBox="1"/>
          </xdr:nvSpPr>
          <xdr:spPr>
            <a:xfrm>
              <a:off x="7643637" y="528204"/>
              <a:ext cx="791718" cy="2818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AB65E529-102E-686A-C16E-A0C356F661B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1153596</xdr:colOff>
      <xdr:row>0</xdr:row>
      <xdr:rowOff>5863</xdr:rowOff>
    </xdr:from>
    <xdr:to>
      <xdr:col>11</xdr:col>
      <xdr:colOff>825051</xdr:colOff>
      <xdr:row>1</xdr:row>
      <xdr:rowOff>4000</xdr:rowOff>
    </xdr:to>
    <xdr:grpSp>
      <xdr:nvGrpSpPr>
        <xdr:cNvPr id="12" name="Agrupar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3F0F310-3CCD-E32A-03D6-6448245AE35C}"/>
            </a:ext>
          </a:extLst>
        </xdr:cNvPr>
        <xdr:cNvGrpSpPr>
          <a:grpSpLocks noChangeAspect="1"/>
        </xdr:cNvGrpSpPr>
      </xdr:nvGrpSpPr>
      <xdr:grpSpPr>
        <a:xfrm>
          <a:off x="12166877" y="5863"/>
          <a:ext cx="1020830" cy="861340"/>
          <a:chOff x="10744060" y="2050831"/>
          <a:chExt cx="1032640" cy="858001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5062E20D-1FBF-A61A-B4D7-FD780A5E0005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042DB629-A7F9-E584-0C79-3ECDBEA05941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B7DA9A8-69C2-839D-985A-0F31E86E75FC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8D5C83A3-A8F0-FF8A-C78E-BBFEA48C59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818470</xdr:colOff>
      <xdr:row>0</xdr:row>
      <xdr:rowOff>0</xdr:rowOff>
    </xdr:from>
    <xdr:to>
      <xdr:col>12</xdr:col>
      <xdr:colOff>737740</xdr:colOff>
      <xdr:row>1</xdr:row>
      <xdr:rowOff>4000</xdr:rowOff>
    </xdr:to>
    <xdr:grpSp>
      <xdr:nvGrpSpPr>
        <xdr:cNvPr id="13" name="Agrupar 1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026D877-5E78-0499-66B8-343126FBBA00}"/>
            </a:ext>
          </a:extLst>
        </xdr:cNvPr>
        <xdr:cNvGrpSpPr>
          <a:grpSpLocks noChangeAspect="1"/>
        </xdr:cNvGrpSpPr>
      </xdr:nvGrpSpPr>
      <xdr:grpSpPr>
        <a:xfrm>
          <a:off x="13181126" y="0"/>
          <a:ext cx="1020598" cy="867203"/>
          <a:chOff x="10744060" y="2050830"/>
          <a:chExt cx="1032640" cy="870836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0207CB80-8F86-7A2C-AE1E-3EA86A483F65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BC5AD07F-58FF-50EE-281A-1D6EC98922E0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F4115422-C5FC-689F-3D07-5658DF34D304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3770210F-DFF8-1F17-43D4-0ACC1BCC5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731157</xdr:colOff>
      <xdr:row>0</xdr:row>
      <xdr:rowOff>646</xdr:rowOff>
    </xdr:from>
    <xdr:to>
      <xdr:col>13</xdr:col>
      <xdr:colOff>648112</xdr:colOff>
      <xdr:row>1</xdr:row>
      <xdr:rowOff>4000</xdr:rowOff>
    </xdr:to>
    <xdr:grpSp>
      <xdr:nvGrpSpPr>
        <xdr:cNvPr id="14" name="Agrupar 1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C2209BF-E49F-1F87-856E-5D3F945F96BC}"/>
            </a:ext>
          </a:extLst>
        </xdr:cNvPr>
        <xdr:cNvGrpSpPr>
          <a:grpSpLocks noChangeAspect="1"/>
        </xdr:cNvGrpSpPr>
      </xdr:nvGrpSpPr>
      <xdr:grpSpPr>
        <a:xfrm>
          <a:off x="14195141" y="646"/>
          <a:ext cx="1018284" cy="866557"/>
          <a:chOff x="10666547" y="1933904"/>
          <a:chExt cx="1032640" cy="863203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7ACF667A-927A-3ED2-143B-19C0415B1E2A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9AD4655A-D12A-C6BF-FA35-ECF2132ACF6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CC5F214B-5A9C-DA84-5B02-660569899573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AF5A4EF-6007-0166-D00B-8A49AF62E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641531</xdr:colOff>
      <xdr:row>0</xdr:row>
      <xdr:rowOff>0</xdr:rowOff>
    </xdr:from>
    <xdr:to>
      <xdr:col>14</xdr:col>
      <xdr:colOff>619393</xdr:colOff>
      <xdr:row>1</xdr:row>
      <xdr:rowOff>4000</xdr:rowOff>
    </xdr:to>
    <xdr:grpSp>
      <xdr:nvGrpSpPr>
        <xdr:cNvPr id="15" name="Agrupar 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1EB0B3E-ABE2-267D-FA83-1BA176C0B82E}"/>
            </a:ext>
          </a:extLst>
        </xdr:cNvPr>
        <xdr:cNvGrpSpPr>
          <a:grpSpLocks noChangeAspect="1"/>
        </xdr:cNvGrpSpPr>
      </xdr:nvGrpSpPr>
      <xdr:grpSpPr>
        <a:xfrm>
          <a:off x="15206844" y="0"/>
          <a:ext cx="1029580" cy="867203"/>
          <a:chOff x="10666547" y="1933903"/>
          <a:chExt cx="1032640" cy="870836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DB15F679-053D-4AD9-2D35-5129FB00912D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34CDF8A1-FAD1-F3A8-2664-FB6AFBA39004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A2C70B0-CE45-8481-85F7-39AE4BC37D27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F8E8C009-156D-DECD-79EE-2A850FD31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612811</xdr:colOff>
      <xdr:row>0</xdr:row>
      <xdr:rowOff>646</xdr:rowOff>
    </xdr:from>
    <xdr:to>
      <xdr:col>15</xdr:col>
      <xdr:colOff>534389</xdr:colOff>
      <xdr:row>1</xdr:row>
      <xdr:rowOff>4000</xdr:rowOff>
    </xdr:to>
    <xdr:grpSp>
      <xdr:nvGrpSpPr>
        <xdr:cNvPr id="16" name="Agrupar 1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369006E1-3E99-4BAA-68EC-98CE6047583F}"/>
            </a:ext>
          </a:extLst>
        </xdr:cNvPr>
        <xdr:cNvGrpSpPr>
          <a:grpSpLocks noChangeAspect="1"/>
        </xdr:cNvGrpSpPr>
      </xdr:nvGrpSpPr>
      <xdr:grpSpPr>
        <a:xfrm>
          <a:off x="16229842" y="646"/>
          <a:ext cx="1022906" cy="866557"/>
          <a:chOff x="7623418" y="2467632"/>
          <a:chExt cx="1034665" cy="863203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BBCA6D03-C728-534C-4A21-C2916C77D3FF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3533A6A9-0BFF-8870-48EF-C17F4ECFD26C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58C3FF67-9FB1-7F15-BBE6-55E18544C54A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A402429B-A2DC-2512-5611-6FD5C4836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476564</xdr:colOff>
      <xdr:row>0</xdr:row>
      <xdr:rowOff>647</xdr:rowOff>
    </xdr:from>
    <xdr:to>
      <xdr:col>17</xdr:col>
      <xdr:colOff>401087</xdr:colOff>
      <xdr:row>1</xdr:row>
      <xdr:rowOff>4000</xdr:rowOff>
    </xdr:to>
    <xdr:grpSp>
      <xdr:nvGrpSpPr>
        <xdr:cNvPr id="17" name="Agrupar 1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10A14922-B4B1-756F-8B1D-72039E95234C}"/>
            </a:ext>
          </a:extLst>
        </xdr:cNvPr>
        <xdr:cNvGrpSpPr>
          <a:grpSpLocks noChangeAspect="1"/>
        </xdr:cNvGrpSpPr>
      </xdr:nvGrpSpPr>
      <xdr:grpSpPr>
        <a:xfrm>
          <a:off x="17194923" y="647"/>
          <a:ext cx="1134992" cy="866556"/>
          <a:chOff x="7441106" y="2890839"/>
          <a:chExt cx="1139825" cy="868444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3B504632-6151-8A03-D544-566CD2D1D7F0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F8578895-E724-A9DE-56FE-E00458BC6822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48200DAC-0469-9ABD-BEA2-42AF7911A1F8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A2E89269-24D9-147A-12BD-6735DDC4AC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270711</xdr:colOff>
      <xdr:row>0</xdr:row>
      <xdr:rowOff>0</xdr:rowOff>
    </xdr:from>
    <xdr:to>
      <xdr:col>7</xdr:col>
      <xdr:colOff>741649</xdr:colOff>
      <xdr:row>1</xdr:row>
      <xdr:rowOff>12883</xdr:rowOff>
    </xdr:to>
    <xdr:grpSp>
      <xdr:nvGrpSpPr>
        <xdr:cNvPr id="65" name="Agrupar 6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F895AEB1-2F12-41A2-AB55-01219EC0033C}"/>
            </a:ext>
          </a:extLst>
        </xdr:cNvPr>
        <xdr:cNvGrpSpPr/>
      </xdr:nvGrpSpPr>
      <xdr:grpSpPr>
        <a:xfrm>
          <a:off x="8019695" y="0"/>
          <a:ext cx="1234923" cy="876086"/>
          <a:chOff x="10965361" y="1520405"/>
          <a:chExt cx="1231803" cy="863203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71FFC611-6409-BF01-B0CE-2D42FB1131DB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DE830FB7-976C-E268-FD9E-29ACCEAE7DC4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50A10C35-0C10-F270-C49B-0DD13A8AAF36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rgbClr val="151316"/>
                  </a:solidFill>
                </a:rPr>
                <a:t>Transformadores</a:t>
              </a:r>
            </a:p>
          </xdr:txBody>
        </xdr:sp>
      </xdr:grp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4E39A52-394A-8CBE-FE3D-9347F1AE934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</xdr:col>
      <xdr:colOff>464720</xdr:colOff>
      <xdr:row>1</xdr:row>
      <xdr:rowOff>10026</xdr:rowOff>
    </xdr:from>
    <xdr:to>
      <xdr:col>8</xdr:col>
      <xdr:colOff>117263</xdr:colOff>
      <xdr:row>2</xdr:row>
      <xdr:rowOff>12485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E6EB7FB6-BA45-401F-9C85-D4B7E25ADB45}"/>
            </a:ext>
          </a:extLst>
        </xdr:cNvPr>
        <xdr:cNvSpPr txBox="1"/>
      </xdr:nvSpPr>
      <xdr:spPr>
        <a:xfrm>
          <a:off x="6657474" y="872289"/>
          <a:ext cx="3983911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Transformadores</a:t>
          </a:r>
        </a:p>
      </xdr:txBody>
    </xdr:sp>
    <xdr:clientData/>
  </xdr:twoCellAnchor>
  <xdr:twoCellAnchor editAs="absolute">
    <xdr:from>
      <xdr:col>10</xdr:col>
      <xdr:colOff>100263</xdr:colOff>
      <xdr:row>0</xdr:row>
      <xdr:rowOff>0</xdr:rowOff>
    </xdr:from>
    <xdr:to>
      <xdr:col>10</xdr:col>
      <xdr:colOff>1126704</xdr:colOff>
      <xdr:row>1</xdr:row>
      <xdr:rowOff>940</xdr:rowOff>
    </xdr:to>
    <xdr:grpSp>
      <xdr:nvGrpSpPr>
        <xdr:cNvPr id="57" name="Agrupar 5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49F9061C-34BF-48B2-A8FB-ED70819C10E1}"/>
            </a:ext>
          </a:extLst>
        </xdr:cNvPr>
        <xdr:cNvGrpSpPr/>
      </xdr:nvGrpSpPr>
      <xdr:grpSpPr>
        <a:xfrm>
          <a:off x="11113544" y="0"/>
          <a:ext cx="1026441" cy="864143"/>
          <a:chOff x="11001468" y="5333162"/>
          <a:chExt cx="1026441" cy="863203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A90440A7-EA27-07A5-CF25-3673295225DF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id="{B7857E88-1904-3062-9EC6-7351E9AE7BA4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29B4679D-8EA1-A5CD-3D45-6A7100A3AB4B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72" name="Conector de Seta Reta 71">
            <a:extLst>
              <a:ext uri="{FF2B5EF4-FFF2-40B4-BE49-F238E27FC236}">
                <a16:creationId xmlns:a16="http://schemas.microsoft.com/office/drawing/2014/main" id="{4E90AC1D-2387-936D-F223-F54E1695D2E9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900215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8F17477-E6AB-476E-9A1A-206D87035392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109904</xdr:colOff>
      <xdr:row>0</xdr:row>
      <xdr:rowOff>73269</xdr:rowOff>
    </xdr:from>
    <xdr:to>
      <xdr:col>1</xdr:col>
      <xdr:colOff>36568</xdr:colOff>
      <xdr:row>0</xdr:row>
      <xdr:rowOff>772674</xdr:rowOff>
    </xdr:to>
    <xdr:sp macro="" textlink="">
      <xdr:nvSpPr>
        <xdr:cNvPr id="5" name="Raio 4">
          <a:extLst>
            <a:ext uri="{FF2B5EF4-FFF2-40B4-BE49-F238E27FC236}">
              <a16:creationId xmlns:a16="http://schemas.microsoft.com/office/drawing/2014/main" id="{0C3F6453-6081-4A40-BDBC-089FE219F4BA}"/>
            </a:ext>
          </a:extLst>
        </xdr:cNvPr>
        <xdr:cNvSpPr/>
      </xdr:nvSpPr>
      <xdr:spPr>
        <a:xfrm rot="21430735">
          <a:off x="109904" y="73269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32673</xdr:colOff>
      <xdr:row>0</xdr:row>
      <xdr:rowOff>117025</xdr:rowOff>
    </xdr:from>
    <xdr:to>
      <xdr:col>4</xdr:col>
      <xdr:colOff>772644</xdr:colOff>
      <xdr:row>0</xdr:row>
      <xdr:rowOff>710264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C46F6A71-67A4-4C1B-A5BE-9026EE1AC2CC}"/>
            </a:ext>
          </a:extLst>
        </xdr:cNvPr>
        <xdr:cNvSpPr txBox="1"/>
      </xdr:nvSpPr>
      <xdr:spPr>
        <a:xfrm>
          <a:off x="764594" y="117025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5</xdr:col>
      <xdr:colOff>613780</xdr:colOff>
      <xdr:row>0</xdr:row>
      <xdr:rowOff>1375</xdr:rowOff>
    </xdr:from>
    <xdr:to>
      <xdr:col>6</xdr:col>
      <xdr:colOff>585605</xdr:colOff>
      <xdr:row>1</xdr:row>
      <xdr:rowOff>1686</xdr:rowOff>
    </xdr:to>
    <xdr:grpSp>
      <xdr:nvGrpSpPr>
        <xdr:cNvPr id="8" name="Agrupar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C8B45A-F127-5006-455F-385837A0C073}"/>
            </a:ext>
          </a:extLst>
        </xdr:cNvPr>
        <xdr:cNvGrpSpPr>
          <a:grpSpLocks noChangeAspect="1"/>
        </xdr:cNvGrpSpPr>
      </xdr:nvGrpSpPr>
      <xdr:grpSpPr>
        <a:xfrm>
          <a:off x="6993546" y="1375"/>
          <a:ext cx="1043387" cy="863514"/>
          <a:chOff x="7411601" y="0"/>
          <a:chExt cx="1030879" cy="870672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D8D0AF51-7A2A-F25C-398E-453F0387AE22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21C19FB-148D-788C-3BC6-9D4756AE7A0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77C79B2C-1CE0-524D-667A-DC352A0E29E8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7</xdr:col>
      <xdr:colOff>555691</xdr:colOff>
      <xdr:row>0</xdr:row>
      <xdr:rowOff>7522</xdr:rowOff>
    </xdr:from>
    <xdr:to>
      <xdr:col>9</xdr:col>
      <xdr:colOff>55490</xdr:colOff>
      <xdr:row>1</xdr:row>
      <xdr:rowOff>1686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4AD774F-5827-3C29-2681-7CBAB1616221}"/>
            </a:ext>
          </a:extLst>
        </xdr:cNvPr>
        <xdr:cNvGrpSpPr>
          <a:grpSpLocks noChangeAspect="1"/>
        </xdr:cNvGrpSpPr>
      </xdr:nvGrpSpPr>
      <xdr:grpSpPr>
        <a:xfrm>
          <a:off x="9078582" y="7522"/>
          <a:ext cx="1027767" cy="857367"/>
          <a:chOff x="10249990" y="1546698"/>
          <a:chExt cx="1026770" cy="863203"/>
        </a:xfrm>
      </xdr:grpSpPr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0903080B-9046-A86E-8F56-D408B73E59BF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id="{9ACDE9D6-CD4E-912E-38E1-D4C9790781DC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" name="CaixaDeTexto 62">
              <a:extLst>
                <a:ext uri="{FF2B5EF4-FFF2-40B4-BE49-F238E27FC236}">
                  <a16:creationId xmlns:a16="http://schemas.microsoft.com/office/drawing/2014/main" id="{E60715A5-EB4E-FCFC-9CFC-DF7312A5E107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2109006-10E5-C486-736A-DE2FCBBF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483489</xdr:colOff>
      <xdr:row>0</xdr:row>
      <xdr:rowOff>0</xdr:rowOff>
    </xdr:from>
    <xdr:to>
      <xdr:col>7</xdr:col>
      <xdr:colOff>650462</xdr:colOff>
      <xdr:row>1</xdr:row>
      <xdr:rowOff>1686</xdr:rowOff>
    </xdr:to>
    <xdr:grpSp>
      <xdr:nvGrpSpPr>
        <xdr:cNvPr id="10" name="Agrupar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E9133EC-FF79-18EC-8F1A-3AC5EB4A1006}"/>
            </a:ext>
          </a:extLst>
        </xdr:cNvPr>
        <xdr:cNvGrpSpPr>
          <a:grpSpLocks noChangeAspect="1"/>
        </xdr:cNvGrpSpPr>
      </xdr:nvGrpSpPr>
      <xdr:grpSpPr>
        <a:xfrm>
          <a:off x="7934817" y="0"/>
          <a:ext cx="1238536" cy="864889"/>
          <a:chOff x="10965361" y="1520404"/>
          <a:chExt cx="1231803" cy="870836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487BFB10-5DE0-847B-56C6-419B3FC221D4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B88BB8ED-1AA8-0B93-C225-D6616D372367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9BC20A0D-A3B7-6796-4C10-8B8283555C83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422B9A2D-E027-1303-1A77-A1095689F68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638533</xdr:colOff>
      <xdr:row>0</xdr:row>
      <xdr:rowOff>1375</xdr:rowOff>
    </xdr:from>
    <xdr:to>
      <xdr:col>5</xdr:col>
      <xdr:colOff>649773</xdr:colOff>
      <xdr:row>1</xdr:row>
      <xdr:rowOff>1686</xdr:rowOff>
    </xdr:to>
    <xdr:grpSp>
      <xdr:nvGrpSpPr>
        <xdr:cNvPr id="11" name="Agrupar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F154807-B24F-0DBD-FF3D-97AFF6D84929}"/>
            </a:ext>
          </a:extLst>
        </xdr:cNvPr>
        <xdr:cNvGrpSpPr>
          <a:grpSpLocks noChangeAspect="1"/>
        </xdr:cNvGrpSpPr>
      </xdr:nvGrpSpPr>
      <xdr:grpSpPr>
        <a:xfrm>
          <a:off x="5946736" y="1375"/>
          <a:ext cx="1082803" cy="863514"/>
          <a:chOff x="8052741" y="2471157"/>
          <a:chExt cx="1082687" cy="863203"/>
        </a:xfrm>
      </xdr:grpSpPr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74CF8372-2DA5-3A3F-FFBB-081812FBAE8D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C7C6DC3A-1E91-3312-78E3-F0670414E30C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5" name="CaixaDeTexto 54">
              <a:extLst>
                <a:ext uri="{FF2B5EF4-FFF2-40B4-BE49-F238E27FC236}">
                  <a16:creationId xmlns:a16="http://schemas.microsoft.com/office/drawing/2014/main" id="{B06B8A28-77F6-E544-756C-FFC42C4FB114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0FB6A1E-EF2F-B354-DAD2-F27DC9D14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1319536</xdr:colOff>
      <xdr:row>0</xdr:row>
      <xdr:rowOff>5847</xdr:rowOff>
    </xdr:from>
    <xdr:to>
      <xdr:col>11</xdr:col>
      <xdr:colOff>979980</xdr:colOff>
      <xdr:row>1</xdr:row>
      <xdr:rowOff>1686</xdr:rowOff>
    </xdr:to>
    <xdr:grpSp>
      <xdr:nvGrpSpPr>
        <xdr:cNvPr id="14" name="Agrupar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87DF7C7-12EE-F321-11E3-EA6916AC25CB}"/>
            </a:ext>
          </a:extLst>
        </xdr:cNvPr>
        <xdr:cNvGrpSpPr>
          <a:grpSpLocks noChangeAspect="1"/>
        </xdr:cNvGrpSpPr>
      </xdr:nvGrpSpPr>
      <xdr:grpSpPr>
        <a:xfrm>
          <a:off x="12164145" y="5847"/>
          <a:ext cx="1039585" cy="859042"/>
          <a:chOff x="10744060" y="2050831"/>
          <a:chExt cx="1032640" cy="858001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45DFC98C-5A04-093D-DBA9-B91CB1010F08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357AF5E7-AD3D-22F7-E61B-7F430476EE96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410DA9CF-A260-49D5-BA0F-D643F80C9504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5645735-DADB-ED9F-8542-5A72F9AD81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966598</xdr:colOff>
      <xdr:row>0</xdr:row>
      <xdr:rowOff>0</xdr:rowOff>
    </xdr:from>
    <xdr:to>
      <xdr:col>12</xdr:col>
      <xdr:colOff>614695</xdr:colOff>
      <xdr:row>1</xdr:row>
      <xdr:rowOff>1686</xdr:rowOff>
    </xdr:to>
    <xdr:grpSp>
      <xdr:nvGrpSpPr>
        <xdr:cNvPr id="15" name="Agrupar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5CB821D-539C-C71B-1905-A3B43B76AA78}"/>
            </a:ext>
          </a:extLst>
        </xdr:cNvPr>
        <xdr:cNvGrpSpPr>
          <a:grpSpLocks noChangeAspect="1"/>
        </xdr:cNvGrpSpPr>
      </xdr:nvGrpSpPr>
      <xdr:grpSpPr>
        <a:xfrm>
          <a:off x="13190348" y="0"/>
          <a:ext cx="1027238" cy="864889"/>
          <a:chOff x="10744060" y="2050830"/>
          <a:chExt cx="1032640" cy="870836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C26F9676-3102-5664-61CC-0562977AAB19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300168F3-9DF2-21BC-D2AF-DB724931D619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D94D0E45-1ECE-5345-DE13-4BFB896141D5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FF7E0A2-60D8-1604-615A-5D244BAB7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608090</xdr:colOff>
      <xdr:row>0</xdr:row>
      <xdr:rowOff>644</xdr:rowOff>
    </xdr:from>
    <xdr:to>
      <xdr:col>13</xdr:col>
      <xdr:colOff>256535</xdr:colOff>
      <xdr:row>1</xdr:row>
      <xdr:rowOff>1686</xdr:rowOff>
    </xdr:to>
    <xdr:grpSp>
      <xdr:nvGrpSpPr>
        <xdr:cNvPr id="16" name="Agrupar 1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60092A2-41CC-45B7-ADDB-E360CCD0B600}"/>
            </a:ext>
          </a:extLst>
        </xdr:cNvPr>
        <xdr:cNvGrpSpPr>
          <a:grpSpLocks noChangeAspect="1"/>
        </xdr:cNvGrpSpPr>
      </xdr:nvGrpSpPr>
      <xdr:grpSpPr>
        <a:xfrm>
          <a:off x="14210981" y="644"/>
          <a:ext cx="1027585" cy="864245"/>
          <a:chOff x="10666547" y="1933904"/>
          <a:chExt cx="1032640" cy="863203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FA2FB223-19B2-FE87-F26B-2B4801E19938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929EEE9-4204-685E-CCB4-090128A5DFFD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B62D281-33EA-3007-A4F6-8F6B35442083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2447BFA-A4FF-51FB-4CA4-4CF645AB5B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251936</xdr:colOff>
      <xdr:row>0</xdr:row>
      <xdr:rowOff>0</xdr:rowOff>
    </xdr:from>
    <xdr:to>
      <xdr:col>14</xdr:col>
      <xdr:colOff>177701</xdr:colOff>
      <xdr:row>1</xdr:row>
      <xdr:rowOff>1686</xdr:rowOff>
    </xdr:to>
    <xdr:grpSp>
      <xdr:nvGrpSpPr>
        <xdr:cNvPr id="17" name="Agrupar 1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138FB38-9B1C-2271-B326-B56ACF299AE1}"/>
            </a:ext>
          </a:extLst>
        </xdr:cNvPr>
        <xdr:cNvGrpSpPr>
          <a:grpSpLocks noChangeAspect="1"/>
        </xdr:cNvGrpSpPr>
      </xdr:nvGrpSpPr>
      <xdr:grpSpPr>
        <a:xfrm>
          <a:off x="15233967" y="0"/>
          <a:ext cx="1027093" cy="864889"/>
          <a:chOff x="10666547" y="1933903"/>
          <a:chExt cx="1032640" cy="870836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B41499D0-A400-4C82-C68F-64C022284328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30" name="Retângulo 29">
              <a:extLst>
                <a:ext uri="{FF2B5EF4-FFF2-40B4-BE49-F238E27FC236}">
                  <a16:creationId xmlns:a16="http://schemas.microsoft.com/office/drawing/2014/main" id="{14C4DE80-FEDD-5060-AFF4-AAE3839A0E86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1" name="CaixaDeTexto 30">
              <a:extLst>
                <a:ext uri="{FF2B5EF4-FFF2-40B4-BE49-F238E27FC236}">
                  <a16:creationId xmlns:a16="http://schemas.microsoft.com/office/drawing/2014/main" id="{31D21A5D-59BD-4701-4E59-9B1914A018E9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A33DCC34-51E9-5BDC-A057-BCE1B63805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171096</xdr:colOff>
      <xdr:row>0</xdr:row>
      <xdr:rowOff>644</xdr:rowOff>
    </xdr:from>
    <xdr:to>
      <xdr:col>15</xdr:col>
      <xdr:colOff>102073</xdr:colOff>
      <xdr:row>1</xdr:row>
      <xdr:rowOff>1686</xdr:rowOff>
    </xdr:to>
    <xdr:grpSp>
      <xdr:nvGrpSpPr>
        <xdr:cNvPr id="18" name="Agrupar 1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4F367946-B213-2B85-2C87-864F7A7A749A}"/>
            </a:ext>
          </a:extLst>
        </xdr:cNvPr>
        <xdr:cNvGrpSpPr>
          <a:grpSpLocks noChangeAspect="1"/>
        </xdr:cNvGrpSpPr>
      </xdr:nvGrpSpPr>
      <xdr:grpSpPr>
        <a:xfrm>
          <a:off x="16254455" y="644"/>
          <a:ext cx="1032306" cy="864245"/>
          <a:chOff x="7623418" y="2467632"/>
          <a:chExt cx="1034665" cy="863203"/>
        </a:xfrm>
      </xdr:grpSpPr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AEFB8703-35C2-4175-18FA-6E999AA744E2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id="{F56A1B92-316D-9390-207F-881EDB8E2745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FC9A1919-7F83-A77A-91F8-B5F8966D2614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1E2AE295-D438-EC47-AE21-0EC57DD977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</xdr:colOff>
      <xdr:row>0</xdr:row>
      <xdr:rowOff>645</xdr:rowOff>
    </xdr:from>
    <xdr:to>
      <xdr:col>16</xdr:col>
      <xdr:colOff>38252</xdr:colOff>
      <xdr:row>1</xdr:row>
      <xdr:rowOff>1686</xdr:rowOff>
    </xdr:to>
    <xdr:grpSp>
      <xdr:nvGrpSpPr>
        <xdr:cNvPr id="19" name="Agrupar 1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7D1DD86-1251-ACAC-2CD2-D501A202698C}"/>
            </a:ext>
          </a:extLst>
        </xdr:cNvPr>
        <xdr:cNvGrpSpPr>
          <a:grpSpLocks noChangeAspect="1"/>
        </xdr:cNvGrpSpPr>
      </xdr:nvGrpSpPr>
      <xdr:grpSpPr>
        <a:xfrm>
          <a:off x="17228732" y="645"/>
          <a:ext cx="1135223" cy="864244"/>
          <a:chOff x="7441106" y="2890839"/>
          <a:chExt cx="1139825" cy="868444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A5693F19-61F0-C7BB-B498-62524E044F10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48EA14E-E568-5A4A-EEF9-C816A079F3B7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2A9CD6A-8B9E-DB11-3F66-349768ECF402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3A4B1D72-2735-FB05-C861-C8C863BA7F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2783</xdr:colOff>
      <xdr:row>0</xdr:row>
      <xdr:rowOff>1</xdr:rowOff>
    </xdr:from>
    <xdr:to>
      <xdr:col>10</xdr:col>
      <xdr:colOff>249936</xdr:colOff>
      <xdr:row>1</xdr:row>
      <xdr:rowOff>13139</xdr:rowOff>
    </xdr:to>
    <xdr:grpSp>
      <xdr:nvGrpSpPr>
        <xdr:cNvPr id="67" name="Agrupar 66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AC139C1-7F06-43C4-B4B7-19B5134A43C1}"/>
            </a:ext>
          </a:extLst>
        </xdr:cNvPr>
        <xdr:cNvGrpSpPr/>
      </xdr:nvGrpSpPr>
      <xdr:grpSpPr>
        <a:xfrm>
          <a:off x="10053642" y="1"/>
          <a:ext cx="1040903" cy="876341"/>
          <a:chOff x="9899139" y="1970356"/>
          <a:chExt cx="1028548" cy="891725"/>
        </a:xfrm>
      </xdr:grpSpPr>
      <xdr:grpSp>
        <xdr:nvGrpSpPr>
          <xdr:cNvPr id="68" name="Agrupar 67">
            <a:extLst>
              <a:ext uri="{FF2B5EF4-FFF2-40B4-BE49-F238E27FC236}">
                <a16:creationId xmlns:a16="http://schemas.microsoft.com/office/drawing/2014/main" id="{2B138A77-A617-8326-8EDC-AAD36572C86F}"/>
              </a:ext>
            </a:extLst>
          </xdr:cNvPr>
          <xdr:cNvGrpSpPr/>
        </xdr:nvGrpSpPr>
        <xdr:grpSpPr>
          <a:xfrm>
            <a:off x="9899139" y="1970356"/>
            <a:ext cx="1028548" cy="891725"/>
            <a:chOff x="7510696" y="0"/>
            <a:chExt cx="1030879" cy="899441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11971DE1-7FB8-1789-C276-CA5A1F73C789}"/>
                </a:ext>
              </a:extLst>
            </xdr:cNvPr>
            <xdr:cNvSpPr/>
          </xdr:nvSpPr>
          <xdr:spPr>
            <a:xfrm>
              <a:off x="7510696" y="0"/>
              <a:ext cx="1030879" cy="899441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1" name="CaixaDeTexto 70">
              <a:extLst>
                <a:ext uri="{FF2B5EF4-FFF2-40B4-BE49-F238E27FC236}">
                  <a16:creationId xmlns:a16="http://schemas.microsoft.com/office/drawing/2014/main" id="{F8958D83-8621-57E3-9420-BF147EF00EB0}"/>
                </a:ext>
              </a:extLst>
            </xdr:cNvPr>
            <xdr:cNvSpPr txBox="1"/>
          </xdr:nvSpPr>
          <xdr:spPr>
            <a:xfrm>
              <a:off x="7643129" y="528204"/>
              <a:ext cx="778463" cy="2879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Máquinas</a:t>
              </a:r>
            </a:p>
          </xdr:txBody>
        </xdr:sp>
      </xdr:grpSp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C8CBE96C-E08E-13F5-A49A-585897CE74A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6</xdr:col>
      <xdr:colOff>183611</xdr:colOff>
      <xdr:row>1</xdr:row>
      <xdr:rowOff>0</xdr:rowOff>
    </xdr:from>
    <xdr:to>
      <xdr:col>9</xdr:col>
      <xdr:colOff>635101</xdr:colOff>
      <xdr:row>2</xdr:row>
      <xdr:rowOff>1122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4EFF97BE-8BB9-4923-9BCA-C284E890A697}"/>
            </a:ext>
          </a:extLst>
        </xdr:cNvPr>
        <xdr:cNvSpPr txBox="1"/>
      </xdr:nvSpPr>
      <xdr:spPr>
        <a:xfrm>
          <a:off x="7639295" y="863203"/>
          <a:ext cx="3051989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Máquinas</a:t>
          </a:r>
        </a:p>
      </xdr:txBody>
    </xdr:sp>
    <xdr:clientData/>
  </xdr:twoCellAnchor>
  <xdr:twoCellAnchor editAs="absolute">
    <xdr:from>
      <xdr:col>10</xdr:col>
      <xdr:colOff>272300</xdr:colOff>
      <xdr:row>0</xdr:row>
      <xdr:rowOff>0</xdr:rowOff>
    </xdr:from>
    <xdr:to>
      <xdr:col>10</xdr:col>
      <xdr:colOff>1298741</xdr:colOff>
      <xdr:row>1</xdr:row>
      <xdr:rowOff>940</xdr:rowOff>
    </xdr:to>
    <xdr:grpSp>
      <xdr:nvGrpSpPr>
        <xdr:cNvPr id="3" name="Agrupar 2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7C3B30C2-1266-411A-A513-077324BF3EF0}"/>
            </a:ext>
          </a:extLst>
        </xdr:cNvPr>
        <xdr:cNvGrpSpPr/>
      </xdr:nvGrpSpPr>
      <xdr:grpSpPr>
        <a:xfrm>
          <a:off x="11116909" y="0"/>
          <a:ext cx="1026441" cy="864143"/>
          <a:chOff x="11001468" y="5333162"/>
          <a:chExt cx="1026441" cy="863203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E466859F-070E-4245-38B5-EFAC133A69FC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11B4F9A1-8AC5-9FA7-7951-65BCDDFDC7B4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2C228115-1647-7A24-2538-362B5D1BD5AE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7" name="Conector de Seta Reta 6">
            <a:extLst>
              <a:ext uri="{FF2B5EF4-FFF2-40B4-BE49-F238E27FC236}">
                <a16:creationId xmlns:a16="http://schemas.microsoft.com/office/drawing/2014/main" id="{FCA15775-B7DD-6451-2956-3C7C9D99AA54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443159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3AF38B0-927B-491B-9C40-E5F9F2BC13CA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58615</xdr:colOff>
      <xdr:row>0</xdr:row>
      <xdr:rowOff>87924</xdr:rowOff>
    </xdr:from>
    <xdr:to>
      <xdr:col>0</xdr:col>
      <xdr:colOff>717200</xdr:colOff>
      <xdr:row>0</xdr:row>
      <xdr:rowOff>787329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199BBB64-B0F2-40D8-A62B-7A6C53476E22}"/>
            </a:ext>
          </a:extLst>
        </xdr:cNvPr>
        <xdr:cNvSpPr/>
      </xdr:nvSpPr>
      <xdr:spPr>
        <a:xfrm rot="21430735">
          <a:off x="58615" y="87924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713305</xdr:colOff>
      <xdr:row>0</xdr:row>
      <xdr:rowOff>131680</xdr:rowOff>
    </xdr:from>
    <xdr:to>
      <xdr:col>4</xdr:col>
      <xdr:colOff>747876</xdr:colOff>
      <xdr:row>0</xdr:row>
      <xdr:rowOff>724919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633D0C9-8A57-46AB-B9DD-8D7C4969DD44}"/>
            </a:ext>
          </a:extLst>
        </xdr:cNvPr>
        <xdr:cNvSpPr txBox="1"/>
      </xdr:nvSpPr>
      <xdr:spPr>
        <a:xfrm>
          <a:off x="713305" y="131680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4</xdr:col>
      <xdr:colOff>1629304</xdr:colOff>
      <xdr:row>0</xdr:row>
      <xdr:rowOff>1375</xdr:rowOff>
    </xdr:from>
    <xdr:to>
      <xdr:col>5</xdr:col>
      <xdr:colOff>993430</xdr:colOff>
      <xdr:row>1</xdr:row>
      <xdr:rowOff>1686</xdr:rowOff>
    </xdr:to>
    <xdr:grpSp>
      <xdr:nvGrpSpPr>
        <xdr:cNvPr id="6" name="Agrupar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811E9F-DA72-DEEF-1923-AC3DF2F2D08D}"/>
            </a:ext>
          </a:extLst>
        </xdr:cNvPr>
        <xdr:cNvGrpSpPr>
          <a:grpSpLocks noChangeAspect="1"/>
        </xdr:cNvGrpSpPr>
      </xdr:nvGrpSpPr>
      <xdr:grpSpPr>
        <a:xfrm>
          <a:off x="6937507" y="1375"/>
          <a:ext cx="1031001" cy="863514"/>
          <a:chOff x="7411601" y="0"/>
          <a:chExt cx="1030879" cy="870672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519C8D81-81D9-520D-939B-2216F1FB2EC9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A5E2203D-0391-5B01-8E84-1AC40F3F6AA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85833CA2-6E2E-E722-1187-2BA02CC39BD7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6</xdr:col>
      <xdr:colOff>652805</xdr:colOff>
      <xdr:row>0</xdr:row>
      <xdr:rowOff>7522</xdr:rowOff>
    </xdr:from>
    <xdr:to>
      <xdr:col>7</xdr:col>
      <xdr:colOff>314147</xdr:colOff>
      <xdr:row>1</xdr:row>
      <xdr:rowOff>1686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6F9621-3198-86A9-BAF5-40BFF77D8B20}"/>
            </a:ext>
          </a:extLst>
        </xdr:cNvPr>
        <xdr:cNvGrpSpPr>
          <a:grpSpLocks noChangeAspect="1"/>
        </xdr:cNvGrpSpPr>
      </xdr:nvGrpSpPr>
      <xdr:grpSpPr>
        <a:xfrm>
          <a:off x="9007024" y="7522"/>
          <a:ext cx="1040482" cy="857367"/>
          <a:chOff x="10249990" y="1546698"/>
          <a:chExt cx="1026770" cy="863203"/>
        </a:xfrm>
      </xdr:grpSpPr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FFB6BCE3-605D-5B0D-D9EF-AF8CB80C068A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8A5F69F7-8B47-FB9C-915A-9C1815546BE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2DD18726-8007-2E75-CEC6-439B0D5EE106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AC03C240-285C-05EA-6D42-18F2635720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893709</xdr:colOff>
      <xdr:row>0</xdr:row>
      <xdr:rowOff>0</xdr:rowOff>
    </xdr:from>
    <xdr:to>
      <xdr:col>6</xdr:col>
      <xdr:colOff>749685</xdr:colOff>
      <xdr:row>1</xdr:row>
      <xdr:rowOff>1686</xdr:rowOff>
    </xdr:to>
    <xdr:grpSp>
      <xdr:nvGrpSpPr>
        <xdr:cNvPr id="8" name="Agrupar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CC0A5B0-7400-A44C-4C64-F36E2C1E16CA}"/>
            </a:ext>
          </a:extLst>
        </xdr:cNvPr>
        <xdr:cNvGrpSpPr>
          <a:grpSpLocks noChangeAspect="1"/>
        </xdr:cNvGrpSpPr>
      </xdr:nvGrpSpPr>
      <xdr:grpSpPr>
        <a:xfrm>
          <a:off x="7868787" y="0"/>
          <a:ext cx="1235117" cy="864889"/>
          <a:chOff x="10965361" y="1520404"/>
          <a:chExt cx="1231803" cy="870836"/>
        </a:xfrm>
      </xdr:grpSpPr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025AC0F9-70BB-191A-EF23-3B9C16B44386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56" name="Retângulo 55">
              <a:extLst>
                <a:ext uri="{FF2B5EF4-FFF2-40B4-BE49-F238E27FC236}">
                  <a16:creationId xmlns:a16="http://schemas.microsoft.com/office/drawing/2014/main" id="{84BC3DF3-6209-1DB2-4F4B-2CB1C4144782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F4BDCCBE-71FA-14D4-F497-CC28FE16C93D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60DAC12-0C59-0260-7B06-6E99E11E810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577719</xdr:colOff>
      <xdr:row>0</xdr:row>
      <xdr:rowOff>1375</xdr:rowOff>
    </xdr:from>
    <xdr:to>
      <xdr:col>5</xdr:col>
      <xdr:colOff>967</xdr:colOff>
      <xdr:row>1</xdr:row>
      <xdr:rowOff>1686</xdr:rowOff>
    </xdr:to>
    <xdr:grpSp>
      <xdr:nvGrpSpPr>
        <xdr:cNvPr id="9" name="Agrupar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AC9BA3E-42D1-2BCD-3FAF-27998666AA89}"/>
            </a:ext>
          </a:extLst>
        </xdr:cNvPr>
        <xdr:cNvGrpSpPr>
          <a:grpSpLocks noChangeAspect="1"/>
        </xdr:cNvGrpSpPr>
      </xdr:nvGrpSpPr>
      <xdr:grpSpPr>
        <a:xfrm>
          <a:off x="5885922" y="1375"/>
          <a:ext cx="1090123" cy="863514"/>
          <a:chOff x="8052741" y="2471157"/>
          <a:chExt cx="1082687" cy="863203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E01283E1-704E-538B-F81C-5475A6A39E80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B2D4D3A8-7C74-FDA3-430C-7F85FA436AE8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3DA3C35-BEA5-D2F5-C8DA-6A4973AFFEB3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907B8B7-5760-6208-7CC5-6AD4D0008D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307535</xdr:colOff>
      <xdr:row>0</xdr:row>
      <xdr:rowOff>5847</xdr:rowOff>
    </xdr:from>
    <xdr:to>
      <xdr:col>8</xdr:col>
      <xdr:colOff>144271</xdr:colOff>
      <xdr:row>1</xdr:row>
      <xdr:rowOff>1686</xdr:rowOff>
    </xdr:to>
    <xdr:grpSp>
      <xdr:nvGrpSpPr>
        <xdr:cNvPr id="10" name="Agrupar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10280BB-861C-6635-1CAC-FB7084D6E1B1}"/>
            </a:ext>
          </a:extLst>
        </xdr:cNvPr>
        <xdr:cNvGrpSpPr>
          <a:grpSpLocks noChangeAspect="1"/>
        </xdr:cNvGrpSpPr>
      </xdr:nvGrpSpPr>
      <xdr:grpSpPr>
        <a:xfrm>
          <a:off x="10040894" y="5847"/>
          <a:ext cx="1027361" cy="859042"/>
          <a:chOff x="9899139" y="1970356"/>
          <a:chExt cx="1028548" cy="858001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E9FE9EF2-602E-2445-EDE0-578BF38C4F54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id="{A3DAD33F-9542-1151-77A5-FF5D6FA974F0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77B79E1B-02B7-CB3F-9861-CE7501B406C4}"/>
                </a:ext>
              </a:extLst>
            </xdr:cNvPr>
            <xdr:cNvSpPr txBox="1"/>
          </xdr:nvSpPr>
          <xdr:spPr>
            <a:xfrm>
              <a:off x="7613268" y="528204"/>
              <a:ext cx="786810" cy="282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E6E609A2-0170-BF9C-31F5-27A1D72001A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558809</xdr:colOff>
      <xdr:row>0</xdr:row>
      <xdr:rowOff>5847</xdr:rowOff>
    </xdr:from>
    <xdr:to>
      <xdr:col>11</xdr:col>
      <xdr:colOff>378569</xdr:colOff>
      <xdr:row>1</xdr:row>
      <xdr:rowOff>1686</xdr:rowOff>
    </xdr:to>
    <xdr:grpSp>
      <xdr:nvGrpSpPr>
        <xdr:cNvPr id="12" name="Agrupar 1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499ECB8-05BB-67AC-98C5-97DC7B61A89C}"/>
            </a:ext>
          </a:extLst>
        </xdr:cNvPr>
        <xdr:cNvGrpSpPr>
          <a:grpSpLocks noChangeAspect="1"/>
        </xdr:cNvGrpSpPr>
      </xdr:nvGrpSpPr>
      <xdr:grpSpPr>
        <a:xfrm>
          <a:off x="12088028" y="5847"/>
          <a:ext cx="1030229" cy="859042"/>
          <a:chOff x="10744060" y="2050831"/>
          <a:chExt cx="1032640" cy="858001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7D16459B-2A7F-6960-09C7-DF316FC0F639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055DDD8B-76C3-A536-B642-3FF5EA6973C7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BBE2EC1-7C01-0672-E72B-2CC9B354478C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EABA2204-FE09-CBCD-37C6-FA6EA08266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371957</xdr:colOff>
      <xdr:row>0</xdr:row>
      <xdr:rowOff>0</xdr:rowOff>
    </xdr:from>
    <xdr:to>
      <xdr:col>13</xdr:col>
      <xdr:colOff>182829</xdr:colOff>
      <xdr:row>1</xdr:row>
      <xdr:rowOff>1686</xdr:rowOff>
    </xdr:to>
    <xdr:grpSp>
      <xdr:nvGrpSpPr>
        <xdr:cNvPr id="13" name="Agrupar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D74E1EE-D2B9-3452-F3D9-7F08181FB529}"/>
            </a:ext>
          </a:extLst>
        </xdr:cNvPr>
        <xdr:cNvGrpSpPr>
          <a:grpSpLocks noChangeAspect="1"/>
        </xdr:cNvGrpSpPr>
      </xdr:nvGrpSpPr>
      <xdr:grpSpPr>
        <a:xfrm>
          <a:off x="13111645" y="0"/>
          <a:ext cx="1021340" cy="864889"/>
          <a:chOff x="10744060" y="2050830"/>
          <a:chExt cx="1032640" cy="870836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C7F00E5E-61B0-9C3C-9D45-DB9DB6715921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C99BCCB7-DBCC-CD9A-72A7-A6096F93AB19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1802ABA1-9157-2E19-6906-7B5F9A6E01F6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3EE7301-87B2-2B93-540E-89C9623F24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176217</xdr:colOff>
      <xdr:row>0</xdr:row>
      <xdr:rowOff>644</xdr:rowOff>
    </xdr:from>
    <xdr:to>
      <xdr:col>14</xdr:col>
      <xdr:colOff>601527</xdr:colOff>
      <xdr:row>1</xdr:row>
      <xdr:rowOff>1686</xdr:rowOff>
    </xdr:to>
    <xdr:grpSp>
      <xdr:nvGrpSpPr>
        <xdr:cNvPr id="14" name="Agrupar 1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29622C42-0658-8FFC-ADEF-2755B6E50694}"/>
            </a:ext>
          </a:extLst>
        </xdr:cNvPr>
        <xdr:cNvGrpSpPr>
          <a:grpSpLocks noChangeAspect="1"/>
        </xdr:cNvGrpSpPr>
      </xdr:nvGrpSpPr>
      <xdr:grpSpPr>
        <a:xfrm>
          <a:off x="14126373" y="644"/>
          <a:ext cx="1030545" cy="864245"/>
          <a:chOff x="10666547" y="1933904"/>
          <a:chExt cx="1032640" cy="863203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DB154F42-B567-0154-04B0-01E16371D4BE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2E8339FE-03BA-A7E2-B563-8504BFFE003D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189C38E-2015-2CF7-F041-488707177A7E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C09B7ED-A492-A795-2E6F-46FFFD7B0A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594915</xdr:colOff>
      <xdr:row>0</xdr:row>
      <xdr:rowOff>0</xdr:rowOff>
    </xdr:from>
    <xdr:to>
      <xdr:col>16</xdr:col>
      <xdr:colOff>405241</xdr:colOff>
      <xdr:row>1</xdr:row>
      <xdr:rowOff>1686</xdr:rowOff>
    </xdr:to>
    <xdr:grpSp>
      <xdr:nvGrpSpPr>
        <xdr:cNvPr id="15" name="Agrupar 1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62B969-8057-FD4A-8B43-4C34DBFD1496}"/>
            </a:ext>
          </a:extLst>
        </xdr:cNvPr>
        <xdr:cNvGrpSpPr>
          <a:grpSpLocks noChangeAspect="1"/>
        </xdr:cNvGrpSpPr>
      </xdr:nvGrpSpPr>
      <xdr:grpSpPr>
        <a:xfrm>
          <a:off x="15150306" y="0"/>
          <a:ext cx="1020794" cy="864889"/>
          <a:chOff x="10666547" y="1933903"/>
          <a:chExt cx="1032640" cy="870836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7EC001F5-C736-D0D9-1877-61B13A18EECD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1131869F-5AC6-F0D4-812D-0FAFEF6BE663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74FBF54E-6FF9-D9BE-3385-5814F8313ABE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A53B8DB4-FA23-E689-3478-C3EDC595A1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398629</xdr:colOff>
      <xdr:row>0</xdr:row>
      <xdr:rowOff>644</xdr:rowOff>
    </xdr:from>
    <xdr:to>
      <xdr:col>18</xdr:col>
      <xdr:colOff>222574</xdr:colOff>
      <xdr:row>1</xdr:row>
      <xdr:rowOff>1686</xdr:rowOff>
    </xdr:to>
    <xdr:grpSp>
      <xdr:nvGrpSpPr>
        <xdr:cNvPr id="16" name="Agrupar 15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AA028A84-B6ED-F631-CBD9-B3E307427D99}"/>
            </a:ext>
          </a:extLst>
        </xdr:cNvPr>
        <xdr:cNvGrpSpPr>
          <a:grpSpLocks noChangeAspect="1"/>
        </xdr:cNvGrpSpPr>
      </xdr:nvGrpSpPr>
      <xdr:grpSpPr>
        <a:xfrm>
          <a:off x="16164488" y="644"/>
          <a:ext cx="1034414" cy="864245"/>
          <a:chOff x="7623418" y="2467632"/>
          <a:chExt cx="1034665" cy="863203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FB7DCBAF-E519-AAB8-3A19-E4354391DBD0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C794E56A-86EE-0912-7AD1-9C1ECE05C6B8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BCE86926-5D28-06C0-C928-93038D912145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B258CA3-E846-9933-827C-95835061A8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164481</xdr:colOff>
      <xdr:row>0</xdr:row>
      <xdr:rowOff>645</xdr:rowOff>
    </xdr:from>
    <xdr:to>
      <xdr:col>20</xdr:col>
      <xdr:colOff>90240</xdr:colOff>
      <xdr:row>1</xdr:row>
      <xdr:rowOff>1686</xdr:rowOff>
    </xdr:to>
    <xdr:grpSp>
      <xdr:nvGrpSpPr>
        <xdr:cNvPr id="17" name="Agrupar 16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6173C466-9F1C-A0A3-398D-B8319569D147}"/>
            </a:ext>
          </a:extLst>
        </xdr:cNvPr>
        <xdr:cNvGrpSpPr>
          <a:grpSpLocks noChangeAspect="1"/>
        </xdr:cNvGrpSpPr>
      </xdr:nvGrpSpPr>
      <xdr:grpSpPr>
        <a:xfrm>
          <a:off x="17140809" y="645"/>
          <a:ext cx="1136228" cy="864244"/>
          <a:chOff x="7441106" y="2890839"/>
          <a:chExt cx="1139825" cy="868444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7503F425-DD7D-E8C0-D5FC-DAF6E215FAA5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2D4568E1-90F3-879B-D32A-A600920AEEE1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164530F5-BEC2-75A7-1B2D-BEF99F3BCBFE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EE4CA936-1DF4-ABFA-BAE9-C0CC181CCD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805405</xdr:colOff>
      <xdr:row>0</xdr:row>
      <xdr:rowOff>842106</xdr:rowOff>
    </xdr:from>
    <xdr:to>
      <xdr:col>8</xdr:col>
      <xdr:colOff>498330</xdr:colOff>
      <xdr:row>1</xdr:row>
      <xdr:rowOff>462625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461E7C9A-073A-4E7B-B69B-1BE38F1FD1D0}"/>
            </a:ext>
          </a:extLst>
        </xdr:cNvPr>
        <xdr:cNvSpPr txBox="1"/>
      </xdr:nvSpPr>
      <xdr:spPr>
        <a:xfrm>
          <a:off x="7780483" y="842106"/>
          <a:ext cx="3641831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Cargas</a:t>
          </a:r>
          <a:r>
            <a:rPr lang="pt-BR" sz="2500" baseline="0"/>
            <a:t> Shunts</a:t>
          </a:r>
          <a:endParaRPr lang="pt-BR" sz="2500"/>
        </a:p>
      </xdr:txBody>
    </xdr:sp>
    <xdr:clientData/>
  </xdr:twoCellAnchor>
  <xdr:twoCellAnchor editAs="absolute">
    <xdr:from>
      <xdr:col>8</xdr:col>
      <xdr:colOff>109141</xdr:colOff>
      <xdr:row>0</xdr:row>
      <xdr:rowOff>0</xdr:rowOff>
    </xdr:from>
    <xdr:to>
      <xdr:col>9</xdr:col>
      <xdr:colOff>536033</xdr:colOff>
      <xdr:row>1</xdr:row>
      <xdr:rowOff>2224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FD4F40E-13B9-46F2-941D-A61796003F93}"/>
            </a:ext>
          </a:extLst>
        </xdr:cNvPr>
        <xdr:cNvGrpSpPr/>
      </xdr:nvGrpSpPr>
      <xdr:grpSpPr>
        <a:xfrm>
          <a:off x="11033125" y="0"/>
          <a:ext cx="1032127" cy="865427"/>
          <a:chOff x="13258303" y="2940423"/>
          <a:chExt cx="1032127" cy="865427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19CA23AB-42F2-59E2-9E2F-5ED7C6AF1276}"/>
              </a:ext>
            </a:extLst>
          </xdr:cNvPr>
          <xdr:cNvGrpSpPr/>
        </xdr:nvGrpSpPr>
        <xdr:grpSpPr>
          <a:xfrm>
            <a:off x="13258303" y="2940423"/>
            <a:ext cx="1032127" cy="865427"/>
            <a:chOff x="7510696" y="0"/>
            <a:chExt cx="1030879" cy="870672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25B9CAC-E135-8E6C-AB20-A3844C54A03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46ABBEF0-B563-AEC2-8BEA-03F19FFA69F6}"/>
                </a:ext>
              </a:extLst>
            </xdr:cNvPr>
            <xdr:cNvSpPr txBox="1"/>
          </xdr:nvSpPr>
          <xdr:spPr>
            <a:xfrm>
              <a:off x="7717637" y="517277"/>
              <a:ext cx="548204" cy="2819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Carga</a:t>
              </a:r>
            </a:p>
          </xdr:txBody>
        </xdr:sp>
      </xdr:grpSp>
      <xdr:cxnSp macro="">
        <xdr:nvCxnSpPr>
          <xdr:cNvPr id="42" name="Conector de Seta Reta 41">
            <a:extLst>
              <a:ext uri="{FF2B5EF4-FFF2-40B4-BE49-F238E27FC236}">
                <a16:creationId xmlns:a16="http://schemas.microsoft.com/office/drawing/2014/main" id="{203897BC-6DD8-E1D1-52E7-30C0E51F9EF1}"/>
              </a:ext>
            </a:extLst>
          </xdr:cNvPr>
          <xdr:cNvCxnSpPr/>
        </xdr:nvCxnSpPr>
        <xdr:spPr>
          <a:xfrm>
            <a:off x="13746669" y="3042396"/>
            <a:ext cx="0" cy="456198"/>
          </a:xfrm>
          <a:prstGeom prst="straightConnector1">
            <a:avLst/>
          </a:prstGeom>
          <a:ln w="76200">
            <a:solidFill>
              <a:srgbClr val="151316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382095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3A1C6F9-69CA-4737-A4AB-B1AD4E4B71A1}"/>
            </a:ext>
          </a:extLst>
        </xdr:cNvPr>
        <xdr:cNvSpPr/>
      </xdr:nvSpPr>
      <xdr:spPr>
        <a:xfrm>
          <a:off x="0" y="0"/>
          <a:ext cx="5750965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58615</xdr:colOff>
      <xdr:row>0</xdr:row>
      <xdr:rowOff>87924</xdr:rowOff>
    </xdr:from>
    <xdr:to>
      <xdr:col>0</xdr:col>
      <xdr:colOff>717200</xdr:colOff>
      <xdr:row>0</xdr:row>
      <xdr:rowOff>787329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102A8A97-4B86-4CE7-9448-4B90F4DEA09F}"/>
            </a:ext>
          </a:extLst>
        </xdr:cNvPr>
        <xdr:cNvSpPr/>
      </xdr:nvSpPr>
      <xdr:spPr>
        <a:xfrm rot="21430735">
          <a:off x="58615" y="87924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713305</xdr:colOff>
      <xdr:row>0</xdr:row>
      <xdr:rowOff>131680</xdr:rowOff>
    </xdr:from>
    <xdr:to>
      <xdr:col>6</xdr:col>
      <xdr:colOff>681194</xdr:colOff>
      <xdr:row>0</xdr:row>
      <xdr:rowOff>724919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F8F9E6A-947D-4049-852A-00ECE5429F0B}"/>
            </a:ext>
          </a:extLst>
        </xdr:cNvPr>
        <xdr:cNvSpPr txBox="1"/>
      </xdr:nvSpPr>
      <xdr:spPr>
        <a:xfrm>
          <a:off x="713305" y="131680"/>
          <a:ext cx="534237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7</xdr:col>
      <xdr:colOff>429093</xdr:colOff>
      <xdr:row>0</xdr:row>
      <xdr:rowOff>1375</xdr:rowOff>
    </xdr:from>
    <xdr:to>
      <xdr:col>8</xdr:col>
      <xdr:colOff>339280</xdr:colOff>
      <xdr:row>1</xdr:row>
      <xdr:rowOff>1686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7D8746-9F08-4D39-A9EF-B5750440D459}"/>
            </a:ext>
          </a:extLst>
        </xdr:cNvPr>
        <xdr:cNvGrpSpPr>
          <a:grpSpLocks noChangeAspect="1"/>
        </xdr:cNvGrpSpPr>
      </xdr:nvGrpSpPr>
      <xdr:grpSpPr>
        <a:xfrm>
          <a:off x="6908077" y="1375"/>
          <a:ext cx="1031359" cy="863514"/>
          <a:chOff x="7411601" y="0"/>
          <a:chExt cx="1030879" cy="870672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3AA78A7-40D8-7DB6-0A2C-8F70C530F895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1966C13A-F557-0ECB-CA3B-0EDD98D99DF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B694595-EA75-49D7-5E48-9D3375F90702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9</xdr:col>
      <xdr:colOff>263509</xdr:colOff>
      <xdr:row>0</xdr:row>
      <xdr:rowOff>7522</xdr:rowOff>
    </xdr:from>
    <xdr:to>
      <xdr:col>10</xdr:col>
      <xdr:colOff>182715</xdr:colOff>
      <xdr:row>1</xdr:row>
      <xdr:rowOff>1686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7782C5-D27D-4EFF-A6D7-42D7868FED54}"/>
            </a:ext>
          </a:extLst>
        </xdr:cNvPr>
        <xdr:cNvGrpSpPr>
          <a:grpSpLocks noChangeAspect="1"/>
        </xdr:cNvGrpSpPr>
      </xdr:nvGrpSpPr>
      <xdr:grpSpPr>
        <a:xfrm>
          <a:off x="8984837" y="7522"/>
          <a:ext cx="1040378" cy="857367"/>
          <a:chOff x="10249990" y="1546698"/>
          <a:chExt cx="1026770" cy="863203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6AC38A2B-1DBC-63D0-E1F4-A895D42C857C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CAE88411-DCC8-7D85-1ECF-61DCF35286B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54CE00E2-0AF8-D34B-93E8-9E395813917D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57BE9097-036D-ADEC-E6A2-ACC825A528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239559</xdr:colOff>
      <xdr:row>0</xdr:row>
      <xdr:rowOff>0</xdr:rowOff>
    </xdr:from>
    <xdr:to>
      <xdr:col>9</xdr:col>
      <xdr:colOff>360389</xdr:colOff>
      <xdr:row>1</xdr:row>
      <xdr:rowOff>1686</xdr:rowOff>
    </xdr:to>
    <xdr:grpSp>
      <xdr:nvGrpSpPr>
        <xdr:cNvPr id="14" name="Agrupar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9C16E1-ED0E-4159-8ABC-532FAC9BA6A6}"/>
            </a:ext>
          </a:extLst>
        </xdr:cNvPr>
        <xdr:cNvGrpSpPr>
          <a:grpSpLocks noChangeAspect="1"/>
        </xdr:cNvGrpSpPr>
      </xdr:nvGrpSpPr>
      <xdr:grpSpPr>
        <a:xfrm>
          <a:off x="7839715" y="0"/>
          <a:ext cx="1242002" cy="864889"/>
          <a:chOff x="10965361" y="1520404"/>
          <a:chExt cx="1231803" cy="870836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A5DA492B-E80B-0463-8DBB-079BDF4A3740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359E9F2B-768E-59D5-239C-0FC9821D626F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6B794239-F230-16E4-14D4-2E0DAF50B80E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ACF91DD7-F534-97BF-D05E-D51BD10E2BA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510122</xdr:colOff>
      <xdr:row>0</xdr:row>
      <xdr:rowOff>1375</xdr:rowOff>
    </xdr:from>
    <xdr:to>
      <xdr:col>7</xdr:col>
      <xdr:colOff>471740</xdr:colOff>
      <xdr:row>1</xdr:row>
      <xdr:rowOff>1686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DD88382-4561-47F0-8C8E-FCA0EB94A046}"/>
            </a:ext>
          </a:extLst>
        </xdr:cNvPr>
        <xdr:cNvGrpSpPr>
          <a:grpSpLocks noChangeAspect="1"/>
        </xdr:cNvGrpSpPr>
      </xdr:nvGrpSpPr>
      <xdr:grpSpPr>
        <a:xfrm>
          <a:off x="5867935" y="1375"/>
          <a:ext cx="1082789" cy="863514"/>
          <a:chOff x="8052741" y="2471157"/>
          <a:chExt cx="1082687" cy="863203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80DBBCE3-DBB8-1EE4-6EDC-4EF01912C0E2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2FDCDDB-3DF7-4465-EF30-02E72E429495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15A288E-371F-6711-894E-656001645DFC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7BFA53E-E311-AE85-8EA0-A79226E6CA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176103</xdr:colOff>
      <xdr:row>0</xdr:row>
      <xdr:rowOff>5847</xdr:rowOff>
    </xdr:from>
    <xdr:to>
      <xdr:col>11</xdr:col>
      <xdr:colOff>84066</xdr:colOff>
      <xdr:row>1</xdr:row>
      <xdr:rowOff>1686</xdr:rowOff>
    </xdr:to>
    <xdr:grpSp>
      <xdr:nvGrpSpPr>
        <xdr:cNvPr id="24" name="Agrupar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6BDF8CF-B1D5-4D9B-B8E4-8DAB76D1CEFD}"/>
            </a:ext>
          </a:extLst>
        </xdr:cNvPr>
        <xdr:cNvGrpSpPr>
          <a:grpSpLocks noChangeAspect="1"/>
        </xdr:cNvGrpSpPr>
      </xdr:nvGrpSpPr>
      <xdr:grpSpPr>
        <a:xfrm>
          <a:off x="10018603" y="5847"/>
          <a:ext cx="1029135" cy="859042"/>
          <a:chOff x="9899139" y="1970356"/>
          <a:chExt cx="1028548" cy="858001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3BA66672-CCFB-7B96-5570-6C5688A80A4D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27" name="Retângulo 26">
              <a:extLst>
                <a:ext uri="{FF2B5EF4-FFF2-40B4-BE49-F238E27FC236}">
                  <a16:creationId xmlns:a16="http://schemas.microsoft.com/office/drawing/2014/main" id="{B1AC55CF-C774-E905-FF2B-288F9BFA2DE8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323B5153-9FDA-FF44-8B1D-B6A38F077643}"/>
                </a:ext>
              </a:extLst>
            </xdr:cNvPr>
            <xdr:cNvSpPr txBox="1"/>
          </xdr:nvSpPr>
          <xdr:spPr>
            <a:xfrm>
              <a:off x="7613268" y="528204"/>
              <a:ext cx="786810" cy="282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DE59A72F-DF92-6DAA-C362-F56051995C6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846701</xdr:colOff>
      <xdr:row>0</xdr:row>
      <xdr:rowOff>0</xdr:rowOff>
    </xdr:from>
    <xdr:to>
      <xdr:col>13</xdr:col>
      <xdr:colOff>488898</xdr:colOff>
      <xdr:row>1</xdr:row>
      <xdr:rowOff>1686</xdr:rowOff>
    </xdr:to>
    <xdr:grpSp>
      <xdr:nvGrpSpPr>
        <xdr:cNvPr id="34" name="Agrupar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D80CE2A-252B-473B-B48F-78D1CD35A203}"/>
            </a:ext>
          </a:extLst>
        </xdr:cNvPr>
        <xdr:cNvGrpSpPr>
          <a:grpSpLocks noChangeAspect="1"/>
        </xdr:cNvGrpSpPr>
      </xdr:nvGrpSpPr>
      <xdr:grpSpPr>
        <a:xfrm>
          <a:off x="13100217" y="0"/>
          <a:ext cx="1021337" cy="864889"/>
          <a:chOff x="10744060" y="2050830"/>
          <a:chExt cx="1032640" cy="870836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9E7EA303-B562-3F89-C69F-574CCC22297E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9066115-4B85-E021-ECF9-C57530556A75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4AA73EC4-4FDA-D075-C5D3-434A56110AAC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DD2FB3A-62D7-A20A-D313-BAEBC1B1B4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482286</xdr:colOff>
      <xdr:row>0</xdr:row>
      <xdr:rowOff>644</xdr:rowOff>
    </xdr:from>
    <xdr:to>
      <xdr:col>14</xdr:col>
      <xdr:colOff>411504</xdr:colOff>
      <xdr:row>1</xdr:row>
      <xdr:rowOff>1686</xdr:rowOff>
    </xdr:to>
    <xdr:grpSp>
      <xdr:nvGrpSpPr>
        <xdr:cNvPr id="39" name="Agrupar 3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0BA53D2-061A-4265-82DD-00C65E5927BB}"/>
            </a:ext>
          </a:extLst>
        </xdr:cNvPr>
        <xdr:cNvGrpSpPr>
          <a:grpSpLocks noChangeAspect="1"/>
        </xdr:cNvGrpSpPr>
      </xdr:nvGrpSpPr>
      <xdr:grpSpPr>
        <a:xfrm>
          <a:off x="14114942" y="644"/>
          <a:ext cx="1030546" cy="864245"/>
          <a:chOff x="10666547" y="1933904"/>
          <a:chExt cx="1032640" cy="863203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1477C46B-8F9E-21FA-84DF-93671447F3DA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B44182E3-B14E-139E-E7F0-34B758588BEE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35CCDABA-36FC-CDA8-3100-1FFEDA8E6D19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35BE76C7-B3B4-AA9F-F9B6-32D624E07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404892</xdr:colOff>
      <xdr:row>0</xdr:row>
      <xdr:rowOff>0</xdr:rowOff>
    </xdr:from>
    <xdr:to>
      <xdr:col>15</xdr:col>
      <xdr:colOff>324356</xdr:colOff>
      <xdr:row>1</xdr:row>
      <xdr:rowOff>1686</xdr:rowOff>
    </xdr:to>
    <xdr:grpSp>
      <xdr:nvGrpSpPr>
        <xdr:cNvPr id="44" name="Agrupar 4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884EDC6-AA4D-4AAD-9EE8-95A7A8C50B54}"/>
            </a:ext>
          </a:extLst>
        </xdr:cNvPr>
        <xdr:cNvGrpSpPr>
          <a:grpSpLocks noChangeAspect="1"/>
        </xdr:cNvGrpSpPr>
      </xdr:nvGrpSpPr>
      <xdr:grpSpPr>
        <a:xfrm>
          <a:off x="15138876" y="0"/>
          <a:ext cx="1020793" cy="864889"/>
          <a:chOff x="10666547" y="1933903"/>
          <a:chExt cx="1032640" cy="870836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7E26F4C3-3F68-D07A-2C69-490D07A880B2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043BA873-A3E9-4AAA-0B9D-21266D56ACA7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99211B14-5777-8A7F-43C4-8A7DE91313D7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F7D2A7C1-B598-D06F-FABC-3C90B52E4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317744</xdr:colOff>
      <xdr:row>0</xdr:row>
      <xdr:rowOff>644</xdr:rowOff>
    </xdr:from>
    <xdr:to>
      <xdr:col>16</xdr:col>
      <xdr:colOff>250830</xdr:colOff>
      <xdr:row>1</xdr:row>
      <xdr:rowOff>1686</xdr:rowOff>
    </xdr:to>
    <xdr:grpSp>
      <xdr:nvGrpSpPr>
        <xdr:cNvPr id="49" name="Agrupar 4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F6BE981-0A9D-4598-87DE-996B02BC710E}"/>
            </a:ext>
          </a:extLst>
        </xdr:cNvPr>
        <xdr:cNvGrpSpPr>
          <a:grpSpLocks noChangeAspect="1"/>
        </xdr:cNvGrpSpPr>
      </xdr:nvGrpSpPr>
      <xdr:grpSpPr>
        <a:xfrm>
          <a:off x="16153057" y="644"/>
          <a:ext cx="1034414" cy="864245"/>
          <a:chOff x="7623418" y="2467632"/>
          <a:chExt cx="1034665" cy="863203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93077DE2-583C-DD50-A788-F9C592F84CF7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4010FBD2-A2BD-6C45-0397-16FA0A6DE3B1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E1DD6050-83ED-D08B-83C1-2D82A6B9597E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1D9E8A0-E50C-3B91-3B57-7932E57E4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188626</xdr:colOff>
      <xdr:row>0</xdr:row>
      <xdr:rowOff>645</xdr:rowOff>
    </xdr:from>
    <xdr:to>
      <xdr:col>17</xdr:col>
      <xdr:colOff>434788</xdr:colOff>
      <xdr:row>1</xdr:row>
      <xdr:rowOff>1686</xdr:rowOff>
    </xdr:to>
    <xdr:grpSp>
      <xdr:nvGrpSpPr>
        <xdr:cNvPr id="54" name="Agrupar 5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1FF2931-877F-4B33-B399-0758BF33F9DB}"/>
            </a:ext>
          </a:extLst>
        </xdr:cNvPr>
        <xdr:cNvGrpSpPr>
          <a:grpSpLocks noChangeAspect="1"/>
        </xdr:cNvGrpSpPr>
      </xdr:nvGrpSpPr>
      <xdr:grpSpPr>
        <a:xfrm>
          <a:off x="17125267" y="645"/>
          <a:ext cx="1139130" cy="864244"/>
          <a:chOff x="7441106" y="2890839"/>
          <a:chExt cx="1139825" cy="868444"/>
        </a:xfrm>
      </xdr:grpSpPr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213498F5-3DF4-0A6A-2CBD-77BB496D4811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285D5B72-1373-C83C-A520-FFE542324F2D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DE41DA83-9616-4221-3E8B-2995F7D76F57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F3D09543-1573-7AF9-8BD4-E3A705CC0F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713516</xdr:colOff>
      <xdr:row>0</xdr:row>
      <xdr:rowOff>852028</xdr:rowOff>
    </xdr:from>
    <xdr:to>
      <xdr:col>12</xdr:col>
      <xdr:colOff>286389</xdr:colOff>
      <xdr:row>1</xdr:row>
      <xdr:rowOff>472547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6AB7CA8A-4A92-41AF-B9DA-406E1CDBEC6C}"/>
            </a:ext>
          </a:extLst>
        </xdr:cNvPr>
        <xdr:cNvSpPr txBox="1"/>
      </xdr:nvSpPr>
      <xdr:spPr>
        <a:xfrm>
          <a:off x="7214936" y="852028"/>
          <a:ext cx="5336397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Y</a:t>
          </a:r>
          <a:r>
            <a:rPr lang="pt-BR" sz="2500" baseline="0"/>
            <a:t> Barra de Sequência Positiva e Negativa</a:t>
          </a:r>
          <a:endParaRPr lang="pt-BR" sz="2500"/>
        </a:p>
      </xdr:txBody>
    </xdr:sp>
    <xdr:clientData/>
  </xdr:twoCellAnchor>
  <xdr:twoCellAnchor editAs="absolute">
    <xdr:from>
      <xdr:col>11</xdr:col>
      <xdr:colOff>78701</xdr:colOff>
      <xdr:row>0</xdr:row>
      <xdr:rowOff>0</xdr:rowOff>
    </xdr:from>
    <xdr:to>
      <xdr:col>11</xdr:col>
      <xdr:colOff>1106410</xdr:colOff>
      <xdr:row>1</xdr:row>
      <xdr:rowOff>4512</xdr:rowOff>
    </xdr:to>
    <xdr:grpSp>
      <xdr:nvGrpSpPr>
        <xdr:cNvPr id="65" name="Agrupar 6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1E13B89-3BA5-4494-93CB-5484A081507C}"/>
            </a:ext>
          </a:extLst>
        </xdr:cNvPr>
        <xdr:cNvGrpSpPr/>
      </xdr:nvGrpSpPr>
      <xdr:grpSpPr>
        <a:xfrm>
          <a:off x="11042373" y="0"/>
          <a:ext cx="1027709" cy="867715"/>
          <a:chOff x="11001468" y="5333162"/>
          <a:chExt cx="1026441" cy="863203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0285B98C-2B6C-094E-E022-E9A8C44C7134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CAF3EBB6-14F5-AD48-E110-7841460D99A4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CD9172AB-4708-D498-AE2B-5A0E7C90E0BC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67" name="Conector de Seta Reta 66">
            <a:extLst>
              <a:ext uri="{FF2B5EF4-FFF2-40B4-BE49-F238E27FC236}">
                <a16:creationId xmlns:a16="http://schemas.microsoft.com/office/drawing/2014/main" id="{83778993-8396-1055-54A4-9B127EBCE9E1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11</xdr:col>
      <xdr:colOff>989634</xdr:colOff>
      <xdr:row>0</xdr:row>
      <xdr:rowOff>0</xdr:rowOff>
    </xdr:from>
    <xdr:to>
      <xdr:col>12</xdr:col>
      <xdr:colOff>737156</xdr:colOff>
      <xdr:row>1</xdr:row>
      <xdr:rowOff>10033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72B0DE0-1D01-439E-9688-1B36FAEF341F}"/>
            </a:ext>
          </a:extLst>
        </xdr:cNvPr>
        <xdr:cNvGrpSpPr/>
      </xdr:nvGrpSpPr>
      <xdr:grpSpPr>
        <a:xfrm>
          <a:off x="11953306" y="0"/>
          <a:ext cx="1037366" cy="873236"/>
          <a:chOff x="10744060" y="2050831"/>
          <a:chExt cx="1032640" cy="885118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EE1E6D0E-FA8D-4EC9-6DC5-D3CAE96BBE3D}"/>
              </a:ext>
            </a:extLst>
          </xdr:cNvPr>
          <xdr:cNvGrpSpPr/>
        </xdr:nvGrpSpPr>
        <xdr:grpSpPr>
          <a:xfrm>
            <a:off x="10744060" y="2050831"/>
            <a:ext cx="1032640" cy="885118"/>
            <a:chOff x="7510696" y="0"/>
            <a:chExt cx="1030879" cy="892777"/>
          </a:xfrm>
        </xdr:grpSpPr>
        <xdr:sp macro="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id="{F24832A5-9F5D-B36C-E706-7011B54882C7}"/>
                </a:ext>
              </a:extLst>
            </xdr:cNvPr>
            <xdr:cNvSpPr/>
          </xdr:nvSpPr>
          <xdr:spPr>
            <a:xfrm>
              <a:off x="7510696" y="0"/>
              <a:ext cx="1030879" cy="89277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6EA64B14-3CCF-4EA4-2DE4-78E7F6509140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(+) (-)</a:t>
              </a:r>
            </a:p>
          </xdr:txBody>
        </xdr:sp>
      </xdr:grpSp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56977F7-7495-94E4-C72E-679C2CF559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853098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E6A0678A-87BA-4580-95FF-EE48054D9D36}"/>
            </a:ext>
          </a:extLst>
        </xdr:cNvPr>
        <xdr:cNvSpPr/>
      </xdr:nvSpPr>
      <xdr:spPr>
        <a:xfrm>
          <a:off x="0" y="0"/>
          <a:ext cx="5750965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58615</xdr:colOff>
      <xdr:row>0</xdr:row>
      <xdr:rowOff>87924</xdr:rowOff>
    </xdr:from>
    <xdr:to>
      <xdr:col>0</xdr:col>
      <xdr:colOff>717200</xdr:colOff>
      <xdr:row>0</xdr:row>
      <xdr:rowOff>787329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11718F9C-6103-4003-9320-6B10ED4B6873}"/>
            </a:ext>
          </a:extLst>
        </xdr:cNvPr>
        <xdr:cNvSpPr/>
      </xdr:nvSpPr>
      <xdr:spPr>
        <a:xfrm rot="21430735">
          <a:off x="58615" y="87924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713305</xdr:colOff>
      <xdr:row>0</xdr:row>
      <xdr:rowOff>131680</xdr:rowOff>
    </xdr:from>
    <xdr:to>
      <xdr:col>7</xdr:col>
      <xdr:colOff>150726</xdr:colOff>
      <xdr:row>0</xdr:row>
      <xdr:rowOff>724919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C46D834-C320-416E-84B4-B6D93A50AF30}"/>
            </a:ext>
          </a:extLst>
        </xdr:cNvPr>
        <xdr:cNvSpPr txBox="1"/>
      </xdr:nvSpPr>
      <xdr:spPr>
        <a:xfrm>
          <a:off x="713305" y="131680"/>
          <a:ext cx="534237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8</xdr:col>
      <xdr:colOff>25795</xdr:colOff>
      <xdr:row>0</xdr:row>
      <xdr:rowOff>1375</xdr:rowOff>
    </xdr:from>
    <xdr:to>
      <xdr:col>9</xdr:col>
      <xdr:colOff>44662</xdr:colOff>
      <xdr:row>1</xdr:row>
      <xdr:rowOff>1686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54B7DC-47BE-43B1-91BC-4474E84882C6}"/>
            </a:ext>
          </a:extLst>
        </xdr:cNvPr>
        <xdr:cNvGrpSpPr>
          <a:grpSpLocks noChangeAspect="1"/>
        </xdr:cNvGrpSpPr>
      </xdr:nvGrpSpPr>
      <xdr:grpSpPr>
        <a:xfrm>
          <a:off x="6971108" y="1375"/>
          <a:ext cx="1030898" cy="863514"/>
          <a:chOff x="7411601" y="0"/>
          <a:chExt cx="1030879" cy="870672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1BCCCFA-5572-5287-E27F-1593F788F3C6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88232037-0939-B3C9-D8D5-2500E0925F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92AC794-3AE4-9FF3-F3F8-F199B44140ED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10</xdr:col>
      <xdr:colOff>71042</xdr:colOff>
      <xdr:row>0</xdr:row>
      <xdr:rowOff>7522</xdr:rowOff>
    </xdr:from>
    <xdr:to>
      <xdr:col>11</xdr:col>
      <xdr:colOff>98658</xdr:colOff>
      <xdr:row>1</xdr:row>
      <xdr:rowOff>1686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2A70A00-19E1-48B4-8C1A-E45DBA0DEEB4}"/>
            </a:ext>
          </a:extLst>
        </xdr:cNvPr>
        <xdr:cNvGrpSpPr>
          <a:grpSpLocks noChangeAspect="1"/>
        </xdr:cNvGrpSpPr>
      </xdr:nvGrpSpPr>
      <xdr:grpSpPr>
        <a:xfrm>
          <a:off x="9040417" y="7522"/>
          <a:ext cx="1039647" cy="857367"/>
          <a:chOff x="10249990" y="1546698"/>
          <a:chExt cx="1026770" cy="863203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0752F034-5122-BD5E-CB6D-E9AC5AF08CD5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63EF9876-CBB4-4A50-0B08-2E05EAF90187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F8E4E2E6-143E-D1BE-F7D9-7560408AB38D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CD33C93E-D5F5-4A9B-929E-793A1234BC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956345</xdr:colOff>
      <xdr:row>0</xdr:row>
      <xdr:rowOff>0</xdr:rowOff>
    </xdr:from>
    <xdr:to>
      <xdr:col>10</xdr:col>
      <xdr:colOff>167191</xdr:colOff>
      <xdr:row>1</xdr:row>
      <xdr:rowOff>1686</xdr:rowOff>
    </xdr:to>
    <xdr:grpSp>
      <xdr:nvGrpSpPr>
        <xdr:cNvPr id="14" name="Agrupar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846ACCC-AAC3-4C8C-A301-7E2952242D55}"/>
            </a:ext>
          </a:extLst>
        </xdr:cNvPr>
        <xdr:cNvGrpSpPr>
          <a:grpSpLocks noChangeAspect="1"/>
        </xdr:cNvGrpSpPr>
      </xdr:nvGrpSpPr>
      <xdr:grpSpPr>
        <a:xfrm>
          <a:off x="7901658" y="0"/>
          <a:ext cx="1234908" cy="864889"/>
          <a:chOff x="10965361" y="1520404"/>
          <a:chExt cx="1231803" cy="870836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C763C73-E320-4742-B526-446DAC0F7F72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A9342321-29D7-D7C1-3D63-0485975D2A4C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1CD8D486-E82A-695C-077E-61A8697BC04F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A6A73DE9-3C5E-4701-0874-79735C8F755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987658</xdr:colOff>
      <xdr:row>0</xdr:row>
      <xdr:rowOff>1375</xdr:rowOff>
    </xdr:from>
    <xdr:to>
      <xdr:col>8</xdr:col>
      <xdr:colOff>61096</xdr:colOff>
      <xdr:row>1</xdr:row>
      <xdr:rowOff>1686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8245EBF-AC05-4DE0-8DDF-9B58F3192C47}"/>
            </a:ext>
          </a:extLst>
        </xdr:cNvPr>
        <xdr:cNvGrpSpPr>
          <a:grpSpLocks noChangeAspect="1"/>
        </xdr:cNvGrpSpPr>
      </xdr:nvGrpSpPr>
      <xdr:grpSpPr>
        <a:xfrm>
          <a:off x="5908908" y="1375"/>
          <a:ext cx="1097501" cy="863514"/>
          <a:chOff x="8052741" y="2471157"/>
          <a:chExt cx="1082687" cy="863203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96CD1BA3-6E01-1943-E420-2B33FB9720B3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F03E25D-637C-C88F-2687-987BFA223B27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8308E3E-B58C-410A-7567-E73BDA668E2E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4251E037-574E-7EA0-EA57-C0D97F375A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92046</xdr:colOff>
      <xdr:row>0</xdr:row>
      <xdr:rowOff>5847</xdr:rowOff>
    </xdr:from>
    <xdr:to>
      <xdr:col>12</xdr:col>
      <xdr:colOff>96722</xdr:colOff>
      <xdr:row>1</xdr:row>
      <xdr:rowOff>1686</xdr:rowOff>
    </xdr:to>
    <xdr:grpSp>
      <xdr:nvGrpSpPr>
        <xdr:cNvPr id="24" name="Agrupar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F3FC7BD-FD6E-4862-BE29-6BFE3488DBE5}"/>
            </a:ext>
          </a:extLst>
        </xdr:cNvPr>
        <xdr:cNvGrpSpPr>
          <a:grpSpLocks noChangeAspect="1"/>
        </xdr:cNvGrpSpPr>
      </xdr:nvGrpSpPr>
      <xdr:grpSpPr>
        <a:xfrm>
          <a:off x="10073452" y="5847"/>
          <a:ext cx="1026629" cy="859042"/>
          <a:chOff x="9899139" y="1970356"/>
          <a:chExt cx="1028548" cy="858001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DFCA0DC5-066A-2BDA-12EC-61E1EB3CCB79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27" name="Retângulo 26">
              <a:extLst>
                <a:ext uri="{FF2B5EF4-FFF2-40B4-BE49-F238E27FC236}">
                  <a16:creationId xmlns:a16="http://schemas.microsoft.com/office/drawing/2014/main" id="{F0233413-505B-F5DE-86EA-B597E528ED6C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E2687DC-12DB-1381-A976-D573D2F27630}"/>
                </a:ext>
              </a:extLst>
            </xdr:cNvPr>
            <xdr:cNvSpPr txBox="1"/>
          </xdr:nvSpPr>
          <xdr:spPr>
            <a:xfrm>
              <a:off x="7613268" y="528204"/>
              <a:ext cx="786810" cy="282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EDAF29E-FB2F-8400-966E-AE2916C9567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678861</xdr:colOff>
      <xdr:row>0</xdr:row>
      <xdr:rowOff>644</xdr:rowOff>
    </xdr:from>
    <xdr:to>
      <xdr:col>15</xdr:col>
      <xdr:colOff>608078</xdr:colOff>
      <xdr:row>1</xdr:row>
      <xdr:rowOff>1686</xdr:rowOff>
    </xdr:to>
    <xdr:grpSp>
      <xdr:nvGrpSpPr>
        <xdr:cNvPr id="34" name="Agrupar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08B6FA5-3029-4F82-A0C1-1EFD89FF52BE}"/>
            </a:ext>
          </a:extLst>
        </xdr:cNvPr>
        <xdr:cNvGrpSpPr>
          <a:grpSpLocks noChangeAspect="1"/>
        </xdr:cNvGrpSpPr>
      </xdr:nvGrpSpPr>
      <xdr:grpSpPr>
        <a:xfrm>
          <a:off x="14162689" y="644"/>
          <a:ext cx="1030545" cy="864245"/>
          <a:chOff x="10666547" y="1933904"/>
          <a:chExt cx="1032640" cy="863203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A2F99F9A-B07E-0903-D730-27B39979EE02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0CEBBF32-1010-3430-B286-AED63B6E58FA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20F488FD-05F2-44C3-D3C0-2CE1E602017D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8DAE2F1F-D65A-27D7-850D-E52A2E1F7D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601466</xdr:colOff>
      <xdr:row>0</xdr:row>
      <xdr:rowOff>0</xdr:rowOff>
    </xdr:from>
    <xdr:to>
      <xdr:col>16</xdr:col>
      <xdr:colOff>520934</xdr:colOff>
      <xdr:row>1</xdr:row>
      <xdr:rowOff>1686</xdr:rowOff>
    </xdr:to>
    <xdr:grpSp>
      <xdr:nvGrpSpPr>
        <xdr:cNvPr id="39" name="Agrupar 3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BB989C6-3A91-4367-A593-EF88F0AA21CB}"/>
            </a:ext>
          </a:extLst>
        </xdr:cNvPr>
        <xdr:cNvGrpSpPr>
          <a:grpSpLocks noChangeAspect="1"/>
        </xdr:cNvGrpSpPr>
      </xdr:nvGrpSpPr>
      <xdr:grpSpPr>
        <a:xfrm>
          <a:off x="15186622" y="0"/>
          <a:ext cx="1020796" cy="864889"/>
          <a:chOff x="10666547" y="1933903"/>
          <a:chExt cx="1032640" cy="870836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E06569EC-6879-1D9B-512D-F23A1E5974BF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7439ED8B-8E45-83E1-F8CA-FE4290E9CA5D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E055E77E-2EE2-B19A-0638-A6633B9A6512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E1B82E1-7B67-96E2-E253-589DA9FB1C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514322</xdr:colOff>
      <xdr:row>0</xdr:row>
      <xdr:rowOff>644</xdr:rowOff>
    </xdr:from>
    <xdr:to>
      <xdr:col>18</xdr:col>
      <xdr:colOff>51742</xdr:colOff>
      <xdr:row>1</xdr:row>
      <xdr:rowOff>1686</xdr:rowOff>
    </xdr:to>
    <xdr:grpSp>
      <xdr:nvGrpSpPr>
        <xdr:cNvPr id="44" name="Agrupar 4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2D04936-679D-4086-8047-1F1DC69968D9}"/>
            </a:ext>
          </a:extLst>
        </xdr:cNvPr>
        <xdr:cNvGrpSpPr>
          <a:grpSpLocks noChangeAspect="1"/>
        </xdr:cNvGrpSpPr>
      </xdr:nvGrpSpPr>
      <xdr:grpSpPr>
        <a:xfrm>
          <a:off x="16200806" y="644"/>
          <a:ext cx="1035624" cy="864245"/>
          <a:chOff x="7623418" y="2467632"/>
          <a:chExt cx="1034665" cy="863203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EE1A54D8-E260-DE89-C26F-09A9F83AA934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34E79C6C-A433-4C2B-A34C-E20667AE0040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0393E28-119C-B0DD-345D-E2031B5AAE6A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D1FDABF-C7EC-F727-AB0C-EC8F2D0E1A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597673</xdr:colOff>
      <xdr:row>0</xdr:row>
      <xdr:rowOff>645</xdr:rowOff>
    </xdr:from>
    <xdr:to>
      <xdr:col>19</xdr:col>
      <xdr:colOff>523433</xdr:colOff>
      <xdr:row>1</xdr:row>
      <xdr:rowOff>1686</xdr:rowOff>
    </xdr:to>
    <xdr:grpSp>
      <xdr:nvGrpSpPr>
        <xdr:cNvPr id="49" name="Agrupar 4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DBA1475-A5F9-4EC0-A727-16F91B4EB422}"/>
            </a:ext>
          </a:extLst>
        </xdr:cNvPr>
        <xdr:cNvGrpSpPr>
          <a:grpSpLocks noChangeAspect="1"/>
        </xdr:cNvGrpSpPr>
      </xdr:nvGrpSpPr>
      <xdr:grpSpPr>
        <a:xfrm>
          <a:off x="17177126" y="645"/>
          <a:ext cx="1136229" cy="864244"/>
          <a:chOff x="7441106" y="2890839"/>
          <a:chExt cx="1139825" cy="868444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C73CD84E-5CB1-89AD-7BF9-A075FE0F92C4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A1604996-800B-2E08-668F-3036A60EDA09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C18C5650-6F79-D956-F1EB-A13EAFCB4780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980FF732-6C04-74E6-5C5B-7B8145EC09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979223</xdr:colOff>
      <xdr:row>0</xdr:row>
      <xdr:rowOff>852027</xdr:rowOff>
    </xdr:from>
    <xdr:to>
      <xdr:col>12</xdr:col>
      <xdr:colOff>1323983</xdr:colOff>
      <xdr:row>1</xdr:row>
      <xdr:rowOff>472546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19054FBA-30C8-49CC-B9B0-9F5E565DC8CD}"/>
            </a:ext>
          </a:extLst>
        </xdr:cNvPr>
        <xdr:cNvSpPr txBox="1"/>
      </xdr:nvSpPr>
      <xdr:spPr>
        <a:xfrm>
          <a:off x="6887515" y="852027"/>
          <a:ext cx="5405689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500">
              <a:solidFill>
                <a:schemeClr val="tx1"/>
              </a:solidFill>
              <a:latin typeface="+mn-lt"/>
              <a:ea typeface="+mn-ea"/>
              <a:cs typeface="+mn-cs"/>
            </a:rPr>
            <a:t>Z Barra de Sequência Positiva e Negativa</a:t>
          </a:r>
        </a:p>
      </xdr:txBody>
    </xdr:sp>
    <xdr:clientData/>
  </xdr:twoCellAnchor>
  <xdr:twoCellAnchor editAs="absolute">
    <xdr:from>
      <xdr:col>12</xdr:col>
      <xdr:colOff>91357</xdr:colOff>
      <xdr:row>0</xdr:row>
      <xdr:rowOff>0</xdr:rowOff>
    </xdr:from>
    <xdr:to>
      <xdr:col>12</xdr:col>
      <xdr:colOff>1122288</xdr:colOff>
      <xdr:row>1</xdr:row>
      <xdr:rowOff>4512</xdr:rowOff>
    </xdr:to>
    <xdr:grpSp>
      <xdr:nvGrpSpPr>
        <xdr:cNvPr id="55" name="Agrupar 5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08BB70D-21E2-4900-A533-F79EA57065DA}"/>
            </a:ext>
          </a:extLst>
        </xdr:cNvPr>
        <xdr:cNvGrpSpPr/>
      </xdr:nvGrpSpPr>
      <xdr:grpSpPr>
        <a:xfrm>
          <a:off x="11094716" y="0"/>
          <a:ext cx="1030931" cy="867715"/>
          <a:chOff x="11001468" y="5333162"/>
          <a:chExt cx="1026441" cy="863203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723B9012-6A4A-BD36-70BB-2C2A9177FFBE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6EE1F5BE-802C-B2E7-497F-A608D67F5060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7AF4F40F-19DD-0E7A-0FA1-07356BF9EC26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57" name="Conector de Seta Reta 56">
            <a:extLst>
              <a:ext uri="{FF2B5EF4-FFF2-40B4-BE49-F238E27FC236}">
                <a16:creationId xmlns:a16="http://schemas.microsoft.com/office/drawing/2014/main" id="{FA081C9C-48E0-AA3D-FC92-11BD697040A2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12</xdr:col>
      <xdr:colOff>1028505</xdr:colOff>
      <xdr:row>0</xdr:row>
      <xdr:rowOff>0</xdr:rowOff>
    </xdr:from>
    <xdr:to>
      <xdr:col>13</xdr:col>
      <xdr:colOff>679594</xdr:colOff>
      <xdr:row>0</xdr:row>
      <xdr:rowOff>859042</xdr:rowOff>
    </xdr:to>
    <xdr:grpSp>
      <xdr:nvGrpSpPr>
        <xdr:cNvPr id="65" name="Agrupar 6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1C10B89-0842-4B40-9BBF-8826EEA984A8}"/>
            </a:ext>
          </a:extLst>
        </xdr:cNvPr>
        <xdr:cNvGrpSpPr>
          <a:grpSpLocks noChangeAspect="1"/>
        </xdr:cNvGrpSpPr>
      </xdr:nvGrpSpPr>
      <xdr:grpSpPr>
        <a:xfrm>
          <a:off x="12031864" y="0"/>
          <a:ext cx="1030230" cy="859042"/>
          <a:chOff x="10744060" y="2050831"/>
          <a:chExt cx="1032640" cy="858001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B0CB24A8-F5AA-D051-F4C0-B2F73E93443C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1FAFC2AD-21DD-B9D8-2919-EAEF1D3802DB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751EE680-9FCD-BF1C-0F0E-4F6F5FDE634C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159CD39C-8AD4-E3CF-6720-D884A275FF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738595</xdr:colOff>
      <xdr:row>0</xdr:row>
      <xdr:rowOff>0</xdr:rowOff>
    </xdr:from>
    <xdr:to>
      <xdr:col>14</xdr:col>
      <xdr:colOff>662644</xdr:colOff>
      <xdr:row>1</xdr:row>
      <xdr:rowOff>8404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E3A396CB-4C69-40AF-B266-D0002DD3E329}"/>
            </a:ext>
          </a:extLst>
        </xdr:cNvPr>
        <xdr:cNvGrpSpPr/>
      </xdr:nvGrpSpPr>
      <xdr:grpSpPr>
        <a:xfrm>
          <a:off x="13121095" y="0"/>
          <a:ext cx="1025377" cy="871607"/>
          <a:chOff x="10744060" y="2050831"/>
          <a:chExt cx="1032640" cy="863203"/>
        </a:xfrm>
      </xdr:grpSpPr>
      <xdr:grpSp>
        <xdr:nvGrpSpPr>
          <xdr:cNvPr id="76" name="Agrupar 75">
            <a:extLst>
              <a:ext uri="{FF2B5EF4-FFF2-40B4-BE49-F238E27FC236}">
                <a16:creationId xmlns:a16="http://schemas.microsoft.com/office/drawing/2014/main" id="{BEF5DB88-6094-A6D3-AF5D-AA786A5A9387}"/>
              </a:ext>
            </a:extLst>
          </xdr:cNvPr>
          <xdr:cNvGrpSpPr/>
        </xdr:nvGrpSpPr>
        <xdr:grpSpPr>
          <a:xfrm>
            <a:off x="10744060" y="2050831"/>
            <a:ext cx="1032640" cy="863203"/>
            <a:chOff x="7510696" y="0"/>
            <a:chExt cx="1030879" cy="870672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0672810E-FA16-E67C-A2A1-62FC91398BF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" name="CaixaDeTexto 78">
              <a:extLst>
                <a:ext uri="{FF2B5EF4-FFF2-40B4-BE49-F238E27FC236}">
                  <a16:creationId xmlns:a16="http://schemas.microsoft.com/office/drawing/2014/main" id="{C112D82B-9BB1-366D-A2DB-5D35BAC5AB3E}"/>
                </a:ext>
              </a:extLst>
            </xdr:cNvPr>
            <xdr:cNvSpPr txBox="1"/>
          </xdr:nvSpPr>
          <xdr:spPr>
            <a:xfrm>
              <a:off x="7532260" y="528204"/>
              <a:ext cx="983705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(+) (-)</a:t>
              </a:r>
            </a:p>
          </xdr:txBody>
        </xdr:sp>
      </xdr:grpSp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5B547FF7-0784-36BB-1A35-DC6B7BE12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613415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A99988E-E751-45B9-B91A-213CF12683AC}"/>
            </a:ext>
          </a:extLst>
        </xdr:cNvPr>
        <xdr:cNvSpPr/>
      </xdr:nvSpPr>
      <xdr:spPr>
        <a:xfrm>
          <a:off x="0" y="0"/>
          <a:ext cx="5750965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58615</xdr:colOff>
      <xdr:row>0</xdr:row>
      <xdr:rowOff>87924</xdr:rowOff>
    </xdr:from>
    <xdr:to>
      <xdr:col>0</xdr:col>
      <xdr:colOff>717200</xdr:colOff>
      <xdr:row>0</xdr:row>
      <xdr:rowOff>787329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D78FBCBD-BDF7-4B23-B959-3396E53FF1A5}"/>
            </a:ext>
          </a:extLst>
        </xdr:cNvPr>
        <xdr:cNvSpPr/>
      </xdr:nvSpPr>
      <xdr:spPr>
        <a:xfrm rot="21430735">
          <a:off x="58615" y="87924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713305</xdr:colOff>
      <xdr:row>0</xdr:row>
      <xdr:rowOff>131680</xdr:rowOff>
    </xdr:from>
    <xdr:to>
      <xdr:col>6</xdr:col>
      <xdr:colOff>915345</xdr:colOff>
      <xdr:row>0</xdr:row>
      <xdr:rowOff>724919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052B2AE-9A95-4A93-873A-E2263495BE42}"/>
            </a:ext>
          </a:extLst>
        </xdr:cNvPr>
        <xdr:cNvSpPr txBox="1"/>
      </xdr:nvSpPr>
      <xdr:spPr>
        <a:xfrm>
          <a:off x="713305" y="131680"/>
          <a:ext cx="534237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7</xdr:col>
      <xdr:colOff>756169</xdr:colOff>
      <xdr:row>0</xdr:row>
      <xdr:rowOff>1375</xdr:rowOff>
    </xdr:from>
    <xdr:to>
      <xdr:col>8</xdr:col>
      <xdr:colOff>746565</xdr:colOff>
      <xdr:row>1</xdr:row>
      <xdr:rowOff>1686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E6EB7E-C5E2-45B8-BB89-5ECCAE77998D}"/>
            </a:ext>
          </a:extLst>
        </xdr:cNvPr>
        <xdr:cNvGrpSpPr>
          <a:grpSpLocks noChangeAspect="1"/>
        </xdr:cNvGrpSpPr>
      </xdr:nvGrpSpPr>
      <xdr:grpSpPr>
        <a:xfrm>
          <a:off x="6961026" y="1375"/>
          <a:ext cx="1038146" cy="871168"/>
          <a:chOff x="7411601" y="0"/>
          <a:chExt cx="1030879" cy="870672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E7DA0A2-F6D6-45F7-50BC-9738610BAC5C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18519E7A-2EC9-FA89-8969-5F3633A2B28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4D36B05-8BC9-9D94-580C-D403B2D315B1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9</xdr:col>
      <xdr:colOff>745168</xdr:colOff>
      <xdr:row>0</xdr:row>
      <xdr:rowOff>7522</xdr:rowOff>
    </xdr:from>
    <xdr:to>
      <xdr:col>10</xdr:col>
      <xdr:colOff>741763</xdr:colOff>
      <xdr:row>1</xdr:row>
      <xdr:rowOff>1686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96714C-37D5-46CD-9111-D1E9C49578AB}"/>
            </a:ext>
          </a:extLst>
        </xdr:cNvPr>
        <xdr:cNvGrpSpPr>
          <a:grpSpLocks noChangeAspect="1"/>
        </xdr:cNvGrpSpPr>
      </xdr:nvGrpSpPr>
      <xdr:grpSpPr>
        <a:xfrm>
          <a:off x="9045525" y="7522"/>
          <a:ext cx="1044345" cy="865021"/>
          <a:chOff x="10249990" y="1546698"/>
          <a:chExt cx="1026770" cy="863203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E33D86B3-E5E5-ECA5-08B9-CC7AD9D29EF2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D142D639-AB56-DAAC-55B8-4434DE86300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8A62844C-565C-6B7B-B7BE-A414E5EF8606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8756F073-595C-226D-D4A0-9F00B97CB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646844</xdr:colOff>
      <xdr:row>0</xdr:row>
      <xdr:rowOff>0</xdr:rowOff>
    </xdr:from>
    <xdr:to>
      <xdr:col>9</xdr:col>
      <xdr:colOff>844709</xdr:colOff>
      <xdr:row>1</xdr:row>
      <xdr:rowOff>1686</xdr:rowOff>
    </xdr:to>
    <xdr:grpSp>
      <xdr:nvGrpSpPr>
        <xdr:cNvPr id="14" name="Agrupar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8576661-C8FA-4792-8064-0EC03B9C56F1}"/>
            </a:ext>
          </a:extLst>
        </xdr:cNvPr>
        <xdr:cNvGrpSpPr>
          <a:grpSpLocks noChangeAspect="1"/>
        </xdr:cNvGrpSpPr>
      </xdr:nvGrpSpPr>
      <xdr:grpSpPr>
        <a:xfrm>
          <a:off x="7899451" y="0"/>
          <a:ext cx="1245615" cy="872543"/>
          <a:chOff x="10965361" y="1520404"/>
          <a:chExt cx="1231803" cy="870836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DBB2DAF3-7A26-1E83-F7F1-3FDCFDD9F63F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C162EAB5-F7BC-2C0D-FC5D-3128B2183529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6A29B35E-AB97-72B0-7F03-F8D2C784FB1E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67E7F3BE-423C-BAD5-7BF5-27E280B06F9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747975</xdr:colOff>
      <xdr:row>0</xdr:row>
      <xdr:rowOff>1375</xdr:rowOff>
    </xdr:from>
    <xdr:to>
      <xdr:col>7</xdr:col>
      <xdr:colOff>792201</xdr:colOff>
      <xdr:row>1</xdr:row>
      <xdr:rowOff>1686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8EB3A2C-5EC6-4D38-A88A-F5979B70C91B}"/>
            </a:ext>
          </a:extLst>
        </xdr:cNvPr>
        <xdr:cNvGrpSpPr>
          <a:grpSpLocks noChangeAspect="1"/>
        </xdr:cNvGrpSpPr>
      </xdr:nvGrpSpPr>
      <xdr:grpSpPr>
        <a:xfrm>
          <a:off x="5905082" y="1375"/>
          <a:ext cx="1091976" cy="871168"/>
          <a:chOff x="8052741" y="2471157"/>
          <a:chExt cx="1082687" cy="863203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32F30EBD-03A4-50FA-E441-10EE1E84E255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5D3580EC-E967-269B-E53A-77876B258BE8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1679993-80C9-6160-5E8B-3A957B099B9E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FC4592D2-73BB-4C50-A054-A7AC81F1A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735151</xdr:colOff>
      <xdr:row>0</xdr:row>
      <xdr:rowOff>5847</xdr:rowOff>
    </xdr:from>
    <xdr:to>
      <xdr:col>11</xdr:col>
      <xdr:colOff>720609</xdr:colOff>
      <xdr:row>1</xdr:row>
      <xdr:rowOff>1686</xdr:rowOff>
    </xdr:to>
    <xdr:grpSp>
      <xdr:nvGrpSpPr>
        <xdr:cNvPr id="24" name="Agrupar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A6204D9-FF08-4E86-99B6-2141B3C5C03D}"/>
            </a:ext>
          </a:extLst>
        </xdr:cNvPr>
        <xdr:cNvGrpSpPr>
          <a:grpSpLocks noChangeAspect="1"/>
        </xdr:cNvGrpSpPr>
      </xdr:nvGrpSpPr>
      <xdr:grpSpPr>
        <a:xfrm>
          <a:off x="10083258" y="5847"/>
          <a:ext cx="1033208" cy="866696"/>
          <a:chOff x="9899139" y="1970356"/>
          <a:chExt cx="1028548" cy="858001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215B7DCD-EA01-9564-71BE-1D982F52A81C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27" name="Retângulo 26">
              <a:extLst>
                <a:ext uri="{FF2B5EF4-FFF2-40B4-BE49-F238E27FC236}">
                  <a16:creationId xmlns:a16="http://schemas.microsoft.com/office/drawing/2014/main" id="{B0FEFFD9-FA79-E6B1-D5C8-ACA7A0C899AB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BCC98B1A-9551-F6A1-B852-3B17DD17912B}"/>
                </a:ext>
              </a:extLst>
            </xdr:cNvPr>
            <xdr:cNvSpPr txBox="1"/>
          </xdr:nvSpPr>
          <xdr:spPr>
            <a:xfrm>
              <a:off x="7613268" y="528204"/>
              <a:ext cx="786810" cy="282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E18D5F79-C7DB-AF47-EC75-FB6C3E37B31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1041920</xdr:colOff>
      <xdr:row>0</xdr:row>
      <xdr:rowOff>0</xdr:rowOff>
    </xdr:from>
    <xdr:to>
      <xdr:col>15</xdr:col>
      <xdr:colOff>961851</xdr:colOff>
      <xdr:row>1</xdr:row>
      <xdr:rowOff>1686</xdr:rowOff>
    </xdr:to>
    <xdr:grpSp>
      <xdr:nvGrpSpPr>
        <xdr:cNvPr id="34" name="Agrupar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B9F3385-F28C-4651-95A7-F051D81D2AB3}"/>
            </a:ext>
          </a:extLst>
        </xdr:cNvPr>
        <xdr:cNvGrpSpPr>
          <a:grpSpLocks noChangeAspect="1"/>
        </xdr:cNvGrpSpPr>
      </xdr:nvGrpSpPr>
      <xdr:grpSpPr>
        <a:xfrm>
          <a:off x="15220563" y="0"/>
          <a:ext cx="1022109" cy="872543"/>
          <a:chOff x="10666547" y="1933903"/>
          <a:chExt cx="1032640" cy="870836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861D4284-C4CC-6E03-7C1B-1446070E041F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4AE749DA-DC79-51B4-A3E0-DB77DB5A481F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1F43D958-7732-000C-F46E-8F31ED56F41A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6E3AB24C-0585-232F-8C4B-574EC38947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955239</xdr:colOff>
      <xdr:row>0</xdr:row>
      <xdr:rowOff>644</xdr:rowOff>
    </xdr:from>
    <xdr:to>
      <xdr:col>16</xdr:col>
      <xdr:colOff>884887</xdr:colOff>
      <xdr:row>1</xdr:row>
      <xdr:rowOff>1686</xdr:rowOff>
    </xdr:to>
    <xdr:grpSp>
      <xdr:nvGrpSpPr>
        <xdr:cNvPr id="39" name="Agrupar 3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99CA4AF-FEC8-4300-B2EB-999980043B68}"/>
            </a:ext>
          </a:extLst>
        </xdr:cNvPr>
        <xdr:cNvGrpSpPr>
          <a:grpSpLocks noChangeAspect="1"/>
        </xdr:cNvGrpSpPr>
      </xdr:nvGrpSpPr>
      <xdr:grpSpPr>
        <a:xfrm>
          <a:off x="16236060" y="644"/>
          <a:ext cx="1031827" cy="871899"/>
          <a:chOff x="7623418" y="2467632"/>
          <a:chExt cx="1034665" cy="863203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AD8B4277-825B-D24B-5A79-A0503690E6C2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53E263C9-6C59-2860-27BD-1F249C9C88D1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A8E84C88-ADA8-D175-C3ED-653A960BC76F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5404C3D4-86C8-4F5E-69FF-F3715523ED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826794</xdr:colOff>
      <xdr:row>0</xdr:row>
      <xdr:rowOff>645</xdr:rowOff>
    </xdr:from>
    <xdr:to>
      <xdr:col>18</xdr:col>
      <xdr:colOff>469185</xdr:colOff>
      <xdr:row>1</xdr:row>
      <xdr:rowOff>1686</xdr:rowOff>
    </xdr:to>
    <xdr:grpSp>
      <xdr:nvGrpSpPr>
        <xdr:cNvPr id="44" name="Agrupar 4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90CE28F-DF95-4DED-8779-4FF565EAFE90}"/>
            </a:ext>
          </a:extLst>
        </xdr:cNvPr>
        <xdr:cNvGrpSpPr>
          <a:grpSpLocks noChangeAspect="1"/>
        </xdr:cNvGrpSpPr>
      </xdr:nvGrpSpPr>
      <xdr:grpSpPr>
        <a:xfrm>
          <a:off x="17209794" y="645"/>
          <a:ext cx="1152784" cy="871898"/>
          <a:chOff x="7441106" y="2890839"/>
          <a:chExt cx="1139825" cy="868444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611BC99C-43AE-7568-4383-BB2D061EE2D6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F28C4533-B5F4-FDE3-89A0-03F27AA90A24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3DD17D2-008B-D84D-4EC1-F2B577BB62F9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0F21BDB-AFF8-E09F-3983-869CC4BCDC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715244</xdr:colOff>
      <xdr:row>0</xdr:row>
      <xdr:rowOff>0</xdr:rowOff>
    </xdr:from>
    <xdr:to>
      <xdr:col>12</xdr:col>
      <xdr:colOff>463970</xdr:colOff>
      <xdr:row>1</xdr:row>
      <xdr:rowOff>4512</xdr:rowOff>
    </xdr:to>
    <xdr:grpSp>
      <xdr:nvGrpSpPr>
        <xdr:cNvPr id="50" name="Agrupar 49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C133C584-DB43-47C9-AF66-3EB4E2944BB3}"/>
            </a:ext>
          </a:extLst>
        </xdr:cNvPr>
        <xdr:cNvGrpSpPr/>
      </xdr:nvGrpSpPr>
      <xdr:grpSpPr>
        <a:xfrm>
          <a:off x="11111101" y="0"/>
          <a:ext cx="1041405" cy="875369"/>
          <a:chOff x="11001468" y="5333162"/>
          <a:chExt cx="1026441" cy="863203"/>
        </a:xfrm>
      </xdr:grpSpPr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3C5B0CC3-714B-F2C3-94F0-AE5154B57432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53" name="Retângulo 52">
              <a:extLst>
                <a:ext uri="{FF2B5EF4-FFF2-40B4-BE49-F238E27FC236}">
                  <a16:creationId xmlns:a16="http://schemas.microsoft.com/office/drawing/2014/main" id="{412F54E5-39D8-DAEC-2D64-0673EE35F463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" name="CaixaDeTexto 53">
              <a:extLst>
                <a:ext uri="{FF2B5EF4-FFF2-40B4-BE49-F238E27FC236}">
                  <a16:creationId xmlns:a16="http://schemas.microsoft.com/office/drawing/2014/main" id="{B18DAB61-7742-CB04-F82A-34DACB60F9D4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52" name="Conector de Seta Reta 51">
            <a:extLst>
              <a:ext uri="{FF2B5EF4-FFF2-40B4-BE49-F238E27FC236}">
                <a16:creationId xmlns:a16="http://schemas.microsoft.com/office/drawing/2014/main" id="{09A65AAC-B254-145B-3102-4ACC66B5E0DD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12</xdr:col>
      <xdr:colOff>370187</xdr:colOff>
      <xdr:row>0</xdr:row>
      <xdr:rowOff>0</xdr:rowOff>
    </xdr:from>
    <xdr:to>
      <xdr:col>13</xdr:col>
      <xdr:colOff>18720</xdr:colOff>
      <xdr:row>0</xdr:row>
      <xdr:rowOff>859042</xdr:rowOff>
    </xdr:to>
    <xdr:grpSp>
      <xdr:nvGrpSpPr>
        <xdr:cNvPr id="55" name="Agrupar 54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834C9DE-3151-4700-9910-312ECA82204B}"/>
            </a:ext>
          </a:extLst>
        </xdr:cNvPr>
        <xdr:cNvGrpSpPr>
          <a:grpSpLocks noChangeAspect="1"/>
        </xdr:cNvGrpSpPr>
      </xdr:nvGrpSpPr>
      <xdr:grpSpPr>
        <a:xfrm>
          <a:off x="12058723" y="0"/>
          <a:ext cx="1036461" cy="859042"/>
          <a:chOff x="10744060" y="2050831"/>
          <a:chExt cx="1032640" cy="858001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5B5D0F42-3E79-18D9-3E98-9829F0724C19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7C175866-4337-8E15-D1A9-CEE158292094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912F52D0-0C36-EC00-555B-AD832E7B70E3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48A67941-973E-AEA0-E7BE-1942C81290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69974</xdr:colOff>
      <xdr:row>0</xdr:row>
      <xdr:rowOff>0</xdr:rowOff>
    </xdr:from>
    <xdr:to>
      <xdr:col>13</xdr:col>
      <xdr:colOff>1091313</xdr:colOff>
      <xdr:row>1</xdr:row>
      <xdr:rowOff>1686</xdr:rowOff>
    </xdr:to>
    <xdr:grpSp>
      <xdr:nvGrpSpPr>
        <xdr:cNvPr id="65" name="Agrupar 6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AFFBE50-07A2-4A27-B3C8-BFEB10474E51}"/>
            </a:ext>
          </a:extLst>
        </xdr:cNvPr>
        <xdr:cNvGrpSpPr>
          <a:grpSpLocks noChangeAspect="1"/>
        </xdr:cNvGrpSpPr>
      </xdr:nvGrpSpPr>
      <xdr:grpSpPr>
        <a:xfrm>
          <a:off x="13146438" y="0"/>
          <a:ext cx="1021339" cy="872543"/>
          <a:chOff x="10744060" y="2050830"/>
          <a:chExt cx="1032640" cy="870836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6B33104B-43AE-B4D0-C464-925B2D5372EC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EBB66247-626E-92B9-3017-FA93AC589E6A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BBF0E30A-8042-2323-CD62-689A9623BBF0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3E9EFF-1B98-B897-CB8B-47F7BD38DE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36709</xdr:colOff>
      <xdr:row>0</xdr:row>
      <xdr:rowOff>0</xdr:rowOff>
    </xdr:from>
    <xdr:to>
      <xdr:col>14</xdr:col>
      <xdr:colOff>1054443</xdr:colOff>
      <xdr:row>1</xdr:row>
      <xdr:rowOff>7029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D305C761-7F58-45E8-BF9C-447FF51E9E83}"/>
            </a:ext>
          </a:extLst>
        </xdr:cNvPr>
        <xdr:cNvGrpSpPr/>
      </xdr:nvGrpSpPr>
      <xdr:grpSpPr>
        <a:xfrm>
          <a:off x="14215352" y="0"/>
          <a:ext cx="1017734" cy="877886"/>
          <a:chOff x="10666547" y="1903631"/>
          <a:chExt cx="1032640" cy="893477"/>
        </a:xfrm>
      </xdr:grpSpPr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2A0F5718-3EC1-5274-980D-33A8CAEF28A3}"/>
              </a:ext>
            </a:extLst>
          </xdr:cNvPr>
          <xdr:cNvGrpSpPr/>
        </xdr:nvGrpSpPr>
        <xdr:grpSpPr>
          <a:xfrm>
            <a:off x="10666547" y="1903631"/>
            <a:ext cx="1032640" cy="893477"/>
            <a:chOff x="7510696" y="-30535"/>
            <a:chExt cx="1030879" cy="901208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3F81985-98A4-CC25-4BE4-EEB7EAAE7398}"/>
                </a:ext>
              </a:extLst>
            </xdr:cNvPr>
            <xdr:cNvSpPr/>
          </xdr:nvSpPr>
          <xdr:spPr>
            <a:xfrm>
              <a:off x="7510696" y="-30535"/>
              <a:ext cx="1030879" cy="90120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4" name="CaixaDeTexto 83">
              <a:extLst>
                <a:ext uri="{FF2B5EF4-FFF2-40B4-BE49-F238E27FC236}">
                  <a16:creationId xmlns:a16="http://schemas.microsoft.com/office/drawing/2014/main" id="{EAB8388B-E1EB-7C0C-156E-D932D70197D7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Y Barra (0)</a:t>
              </a:r>
            </a:p>
          </xdr:txBody>
        </xdr:sp>
      </xdr:grpSp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3247EBD1-26E3-FA93-296B-39ABB2928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972334</xdr:colOff>
      <xdr:row>1</xdr:row>
      <xdr:rowOff>0</xdr:rowOff>
    </xdr:from>
    <xdr:to>
      <xdr:col>11</xdr:col>
      <xdr:colOff>369142</xdr:colOff>
      <xdr:row>2</xdr:row>
      <xdr:rowOff>2459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964C5774-50C6-40FB-9CD0-91AFF37141BF}"/>
            </a:ext>
          </a:extLst>
        </xdr:cNvPr>
        <xdr:cNvSpPr txBox="1"/>
      </xdr:nvSpPr>
      <xdr:spPr>
        <a:xfrm>
          <a:off x="7153672" y="863203"/>
          <a:ext cx="3561954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500">
              <a:solidFill>
                <a:schemeClr val="tx1"/>
              </a:solidFill>
              <a:latin typeface="+mn-lt"/>
              <a:ea typeface="+mn-ea"/>
              <a:cs typeface="+mn-cs"/>
            </a:rPr>
            <a:t>Y Barra de Sequência Zero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753736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BD8B5A-3B24-4C8F-9D10-AD624698E6BB}"/>
            </a:ext>
          </a:extLst>
        </xdr:cNvPr>
        <xdr:cNvSpPr/>
      </xdr:nvSpPr>
      <xdr:spPr>
        <a:xfrm>
          <a:off x="0" y="0"/>
          <a:ext cx="5750965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58615</xdr:colOff>
      <xdr:row>0</xdr:row>
      <xdr:rowOff>87924</xdr:rowOff>
    </xdr:from>
    <xdr:to>
      <xdr:col>0</xdr:col>
      <xdr:colOff>717200</xdr:colOff>
      <xdr:row>0</xdr:row>
      <xdr:rowOff>787329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86C8ABA2-8990-4201-BE48-00BC8B730714}"/>
            </a:ext>
          </a:extLst>
        </xdr:cNvPr>
        <xdr:cNvSpPr/>
      </xdr:nvSpPr>
      <xdr:spPr>
        <a:xfrm rot="21430735">
          <a:off x="58615" y="87924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713305</xdr:colOff>
      <xdr:row>0</xdr:row>
      <xdr:rowOff>131680</xdr:rowOff>
    </xdr:from>
    <xdr:to>
      <xdr:col>7</xdr:col>
      <xdr:colOff>6734</xdr:colOff>
      <xdr:row>0</xdr:row>
      <xdr:rowOff>724919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DD53556-9024-49B7-A420-B76F5E1EF83A}"/>
            </a:ext>
          </a:extLst>
        </xdr:cNvPr>
        <xdr:cNvSpPr txBox="1"/>
      </xdr:nvSpPr>
      <xdr:spPr>
        <a:xfrm>
          <a:off x="713305" y="131680"/>
          <a:ext cx="534237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7</xdr:col>
      <xdr:colOff>907460</xdr:colOff>
      <xdr:row>0</xdr:row>
      <xdr:rowOff>1375</xdr:rowOff>
    </xdr:from>
    <xdr:to>
      <xdr:col>8</xdr:col>
      <xdr:colOff>901391</xdr:colOff>
      <xdr:row>1</xdr:row>
      <xdr:rowOff>1686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32C091-9EE8-40B0-9C89-4FCE3FAEDF2E}"/>
            </a:ext>
          </a:extLst>
        </xdr:cNvPr>
        <xdr:cNvGrpSpPr>
          <a:grpSpLocks noChangeAspect="1"/>
        </xdr:cNvGrpSpPr>
      </xdr:nvGrpSpPr>
      <xdr:grpSpPr>
        <a:xfrm>
          <a:off x="7030674" y="1375"/>
          <a:ext cx="1041681" cy="871168"/>
          <a:chOff x="7411601" y="0"/>
          <a:chExt cx="1030879" cy="870672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62C04D6C-6735-34EC-CB3D-29CCBA80506D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A4A28F35-F969-4556-816A-3FE599D2846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5A81F5E0-BD72-F041-3D63-45BACE497E34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9</xdr:col>
      <xdr:colOff>902655</xdr:colOff>
      <xdr:row>0</xdr:row>
      <xdr:rowOff>7522</xdr:rowOff>
    </xdr:from>
    <xdr:to>
      <xdr:col>10</xdr:col>
      <xdr:colOff>901235</xdr:colOff>
      <xdr:row>1</xdr:row>
      <xdr:rowOff>1686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5BA012-8EAC-435C-9166-A0232153D133}"/>
            </a:ext>
          </a:extLst>
        </xdr:cNvPr>
        <xdr:cNvGrpSpPr>
          <a:grpSpLocks noChangeAspect="1"/>
        </xdr:cNvGrpSpPr>
      </xdr:nvGrpSpPr>
      <xdr:grpSpPr>
        <a:xfrm>
          <a:off x="9121369" y="7522"/>
          <a:ext cx="1046330" cy="865021"/>
          <a:chOff x="10249990" y="1546698"/>
          <a:chExt cx="1026770" cy="863203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14039FD6-9ACF-5D43-753D-EDE773DD3420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F1472051-F4A8-99C0-7C93-DAA6B1A66E65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681E1AA2-6A64-2D96-59D4-C63E7759C1D5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2E32E1C-8DB5-C26B-2E19-26F8475814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806316</xdr:colOff>
      <xdr:row>0</xdr:row>
      <xdr:rowOff>0</xdr:rowOff>
    </xdr:from>
    <xdr:to>
      <xdr:col>9</xdr:col>
      <xdr:colOff>999535</xdr:colOff>
      <xdr:row>1</xdr:row>
      <xdr:rowOff>1686</xdr:rowOff>
    </xdr:to>
    <xdr:grpSp>
      <xdr:nvGrpSpPr>
        <xdr:cNvPr id="14" name="Agrupar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960009-616D-405C-8BAC-1871878650A9}"/>
            </a:ext>
          </a:extLst>
        </xdr:cNvPr>
        <xdr:cNvGrpSpPr>
          <a:grpSpLocks noChangeAspect="1"/>
        </xdr:cNvGrpSpPr>
      </xdr:nvGrpSpPr>
      <xdr:grpSpPr>
        <a:xfrm>
          <a:off x="7977280" y="0"/>
          <a:ext cx="1240969" cy="872543"/>
          <a:chOff x="10965361" y="1520404"/>
          <a:chExt cx="1231803" cy="870836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F21B0AD-707A-2F18-8875-955321525848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F81E95A6-3984-F19C-AB70-9C38093E84A6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888C7C2D-BCBA-2134-87D0-37E0A4448AD0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F1F28E04-675F-4933-CF51-26833C19A61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888296</xdr:colOff>
      <xdr:row>0</xdr:row>
      <xdr:rowOff>1375</xdr:rowOff>
    </xdr:from>
    <xdr:to>
      <xdr:col>7</xdr:col>
      <xdr:colOff>943492</xdr:colOff>
      <xdr:row>1</xdr:row>
      <xdr:rowOff>1686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90F87B3-6556-4559-8894-5C1CAD76D4FC}"/>
            </a:ext>
          </a:extLst>
        </xdr:cNvPr>
        <xdr:cNvGrpSpPr>
          <a:grpSpLocks noChangeAspect="1"/>
        </xdr:cNvGrpSpPr>
      </xdr:nvGrpSpPr>
      <xdr:grpSpPr>
        <a:xfrm>
          <a:off x="5963760" y="1375"/>
          <a:ext cx="1102946" cy="871168"/>
          <a:chOff x="8052741" y="2471157"/>
          <a:chExt cx="1082687" cy="863203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FAC3F323-1892-4025-D695-C642A0AE81F1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C7AC5F3D-BC08-407D-7370-985C21B3654C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6C6E65EC-EB19-F1BD-DB7E-25E647396EBF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2A16A4D-B070-C335-8688-90602C5D4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894623</xdr:colOff>
      <xdr:row>0</xdr:row>
      <xdr:rowOff>5847</xdr:rowOff>
    </xdr:from>
    <xdr:to>
      <xdr:col>11</xdr:col>
      <xdr:colOff>880080</xdr:colOff>
      <xdr:row>1</xdr:row>
      <xdr:rowOff>1686</xdr:rowOff>
    </xdr:to>
    <xdr:grpSp>
      <xdr:nvGrpSpPr>
        <xdr:cNvPr id="24" name="Agrupar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49135D9-3390-492C-B5CA-C91F8E1F9856}"/>
            </a:ext>
          </a:extLst>
        </xdr:cNvPr>
        <xdr:cNvGrpSpPr>
          <a:grpSpLocks noChangeAspect="1"/>
        </xdr:cNvGrpSpPr>
      </xdr:nvGrpSpPr>
      <xdr:grpSpPr>
        <a:xfrm>
          <a:off x="10161087" y="5847"/>
          <a:ext cx="1033207" cy="866696"/>
          <a:chOff x="9899139" y="1970356"/>
          <a:chExt cx="1028548" cy="858001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BACDBE9D-8A77-6566-4BF5-1249904B52E2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27" name="Retângulo 26">
              <a:extLst>
                <a:ext uri="{FF2B5EF4-FFF2-40B4-BE49-F238E27FC236}">
                  <a16:creationId xmlns:a16="http://schemas.microsoft.com/office/drawing/2014/main" id="{A341476F-DE8D-0E61-1EEA-2B49601CD283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BA138687-0D6A-28D9-5FBD-6D34E3252204}"/>
                </a:ext>
              </a:extLst>
            </xdr:cNvPr>
            <xdr:cNvSpPr txBox="1"/>
          </xdr:nvSpPr>
          <xdr:spPr>
            <a:xfrm>
              <a:off x="7613268" y="528204"/>
              <a:ext cx="786810" cy="282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A01DFD48-BAF6-BF4D-D0CB-0C0ABBFEE8F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233325</xdr:colOff>
      <xdr:row>0</xdr:row>
      <xdr:rowOff>644</xdr:rowOff>
    </xdr:from>
    <xdr:to>
      <xdr:col>17</xdr:col>
      <xdr:colOff>376964</xdr:colOff>
      <xdr:row>1</xdr:row>
      <xdr:rowOff>1686</xdr:rowOff>
    </xdr:to>
    <xdr:grpSp>
      <xdr:nvGrpSpPr>
        <xdr:cNvPr id="34" name="Agrupar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715745-781D-4474-8E85-6AACFE7A0FE7}"/>
            </a:ext>
          </a:extLst>
        </xdr:cNvPr>
        <xdr:cNvGrpSpPr>
          <a:grpSpLocks noChangeAspect="1"/>
        </xdr:cNvGrpSpPr>
      </xdr:nvGrpSpPr>
      <xdr:grpSpPr>
        <a:xfrm>
          <a:off x="16303361" y="644"/>
          <a:ext cx="1041710" cy="871899"/>
          <a:chOff x="7623418" y="2467632"/>
          <a:chExt cx="1034665" cy="863203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15F7D7A-3254-5E03-10DF-A662A8B9BCF1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940DF51B-DDDE-210F-E271-AEB1696EEFB5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6B0AEBB8-E160-6024-122E-A105B7D4427C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B6800CB0-9B94-0C1E-5618-8AD0CC37B5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318871</xdr:colOff>
      <xdr:row>0</xdr:row>
      <xdr:rowOff>645</xdr:rowOff>
    </xdr:from>
    <xdr:to>
      <xdr:col>19</xdr:col>
      <xdr:colOff>237631</xdr:colOff>
      <xdr:row>1</xdr:row>
      <xdr:rowOff>1686</xdr:rowOff>
    </xdr:to>
    <xdr:grpSp>
      <xdr:nvGrpSpPr>
        <xdr:cNvPr id="39" name="Agrupar 3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EE7A975-EFAB-42AB-980F-42BF64323DED}"/>
            </a:ext>
          </a:extLst>
        </xdr:cNvPr>
        <xdr:cNvGrpSpPr>
          <a:grpSpLocks noChangeAspect="1"/>
        </xdr:cNvGrpSpPr>
      </xdr:nvGrpSpPr>
      <xdr:grpSpPr>
        <a:xfrm>
          <a:off x="17286978" y="645"/>
          <a:ext cx="1143403" cy="871898"/>
          <a:chOff x="7441106" y="2890839"/>
          <a:chExt cx="1139825" cy="868444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74380755-497B-497B-F9CD-E380867AD6A1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09A37AC2-CFBE-D99B-2B79-8BCEAB1D307E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350F8560-731D-CCED-BCEB-C30856A5A68C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4F2DCA72-970D-BC3F-EBA9-7D17DC1432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874715</xdr:colOff>
      <xdr:row>0</xdr:row>
      <xdr:rowOff>0</xdr:rowOff>
    </xdr:from>
    <xdr:to>
      <xdr:col>12</xdr:col>
      <xdr:colOff>842859</xdr:colOff>
      <xdr:row>1</xdr:row>
      <xdr:rowOff>4512</xdr:rowOff>
    </xdr:to>
    <xdr:grpSp>
      <xdr:nvGrpSpPr>
        <xdr:cNvPr id="45" name="Agrupar 4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1FA8BA9-DF35-4045-851F-03D0E18B747B}"/>
            </a:ext>
          </a:extLst>
        </xdr:cNvPr>
        <xdr:cNvGrpSpPr/>
      </xdr:nvGrpSpPr>
      <xdr:grpSpPr>
        <a:xfrm>
          <a:off x="11188929" y="0"/>
          <a:ext cx="1029501" cy="875369"/>
          <a:chOff x="11001468" y="5333162"/>
          <a:chExt cx="1026441" cy="863203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902AC9DD-C339-D6A4-BA06-8F6431C46A34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id="{2DF7C497-88CC-C555-8365-7E72CBEFC8D4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953CC13A-25EC-D53E-D6BA-26230C254245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47" name="Conector de Seta Reta 46">
            <a:extLst>
              <a:ext uri="{FF2B5EF4-FFF2-40B4-BE49-F238E27FC236}">
                <a16:creationId xmlns:a16="http://schemas.microsoft.com/office/drawing/2014/main" id="{147A61FE-9268-E127-DC58-5D1596732017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12</xdr:col>
      <xdr:colOff>749076</xdr:colOff>
      <xdr:row>0</xdr:row>
      <xdr:rowOff>0</xdr:rowOff>
    </xdr:from>
    <xdr:to>
      <xdr:col>13</xdr:col>
      <xdr:colOff>395672</xdr:colOff>
      <xdr:row>0</xdr:row>
      <xdr:rowOff>859042</xdr:rowOff>
    </xdr:to>
    <xdr:grpSp>
      <xdr:nvGrpSpPr>
        <xdr:cNvPr id="50" name="Agrupar 4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4A072A7B-250F-4585-AB45-93CAFC108E83}"/>
            </a:ext>
          </a:extLst>
        </xdr:cNvPr>
        <xdr:cNvGrpSpPr>
          <a:grpSpLocks noChangeAspect="1"/>
        </xdr:cNvGrpSpPr>
      </xdr:nvGrpSpPr>
      <xdr:grpSpPr>
        <a:xfrm>
          <a:off x="12124647" y="0"/>
          <a:ext cx="1034525" cy="859042"/>
          <a:chOff x="10744060" y="2050831"/>
          <a:chExt cx="1032640" cy="858001"/>
        </a:xfrm>
      </xdr:grpSpPr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8B26F99D-77D3-5F27-CA90-273805C82703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53" name="Retângulo 52">
              <a:extLst>
                <a:ext uri="{FF2B5EF4-FFF2-40B4-BE49-F238E27FC236}">
                  <a16:creationId xmlns:a16="http://schemas.microsoft.com/office/drawing/2014/main" id="{2BF6F56A-22F8-C971-4251-22D2532B6173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" name="CaixaDeTexto 53">
              <a:extLst>
                <a:ext uri="{FF2B5EF4-FFF2-40B4-BE49-F238E27FC236}">
                  <a16:creationId xmlns:a16="http://schemas.microsoft.com/office/drawing/2014/main" id="{0D82350A-7C7F-51B4-F163-6B4E9C166896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4A082543-12B6-5F63-25F2-4F977394AC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451417</xdr:colOff>
      <xdr:row>0</xdr:row>
      <xdr:rowOff>0</xdr:rowOff>
    </xdr:from>
    <xdr:to>
      <xdr:col>14</xdr:col>
      <xdr:colOff>369863</xdr:colOff>
      <xdr:row>1</xdr:row>
      <xdr:rowOff>1686</xdr:rowOff>
    </xdr:to>
    <xdr:grpSp>
      <xdr:nvGrpSpPr>
        <xdr:cNvPr id="55" name="Agrupar 54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65CDD793-60C2-4D87-A89E-A8726D0C803A}"/>
            </a:ext>
          </a:extLst>
        </xdr:cNvPr>
        <xdr:cNvGrpSpPr>
          <a:grpSpLocks noChangeAspect="1"/>
        </xdr:cNvGrpSpPr>
      </xdr:nvGrpSpPr>
      <xdr:grpSpPr>
        <a:xfrm>
          <a:off x="13214917" y="0"/>
          <a:ext cx="1020625" cy="872543"/>
          <a:chOff x="10744060" y="2050830"/>
          <a:chExt cx="1032640" cy="870836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DCB6BEC0-C0D2-3D7E-79E6-F7E6857AA52F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795EE246-EE20-3720-65F1-AA568CA9DBFD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45BD0EEC-462E-1A36-FAA5-E7F23EFF5DC3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32CD7A8-EF72-FCA1-F91B-0CFABC8516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350633</xdr:colOff>
      <xdr:row>0</xdr:row>
      <xdr:rowOff>1</xdr:rowOff>
    </xdr:from>
    <xdr:to>
      <xdr:col>15</xdr:col>
      <xdr:colOff>281035</xdr:colOff>
      <xdr:row>0</xdr:row>
      <xdr:rowOff>810328</xdr:rowOff>
    </xdr:to>
    <xdr:grpSp>
      <xdr:nvGrpSpPr>
        <xdr:cNvPr id="70" name="Agrupar 6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68A395E-664B-48B4-9581-EFCBCFED1DBD}"/>
            </a:ext>
          </a:extLst>
        </xdr:cNvPr>
        <xdr:cNvGrpSpPr>
          <a:grpSpLocks noChangeAspect="1"/>
        </xdr:cNvGrpSpPr>
      </xdr:nvGrpSpPr>
      <xdr:grpSpPr>
        <a:xfrm>
          <a:off x="14216312" y="1"/>
          <a:ext cx="1032580" cy="810327"/>
          <a:chOff x="10666547" y="1933905"/>
          <a:chExt cx="1032640" cy="803877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324D3CB7-DEC4-C4C7-EDD7-FD855BED0FBC}"/>
              </a:ext>
            </a:extLst>
          </xdr:cNvPr>
          <xdr:cNvGrpSpPr/>
        </xdr:nvGrpSpPr>
        <xdr:grpSpPr>
          <a:xfrm>
            <a:off x="10666547" y="1933905"/>
            <a:ext cx="1032640" cy="803877"/>
            <a:chOff x="7510696" y="1"/>
            <a:chExt cx="1030879" cy="810833"/>
          </a:xfrm>
        </xdr:grpSpPr>
        <xdr:sp macro="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id="{1DC1DDC9-93AC-A3E6-0A83-B11604A5F90E}"/>
                </a:ext>
              </a:extLst>
            </xdr:cNvPr>
            <xdr:cNvSpPr/>
          </xdr:nvSpPr>
          <xdr:spPr>
            <a:xfrm>
              <a:off x="7510696" y="1"/>
              <a:ext cx="1030879" cy="79424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E0DF062E-8DEC-2436-4372-D691B7331088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0A41321A-67EF-9CE0-7870-EA039556F8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314137</xdr:colOff>
      <xdr:row>0</xdr:row>
      <xdr:rowOff>0</xdr:rowOff>
    </xdr:from>
    <xdr:to>
      <xdr:col>16</xdr:col>
      <xdr:colOff>218172</xdr:colOff>
      <xdr:row>1</xdr:row>
      <xdr:rowOff>3457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D3E88FFF-7205-405B-A0FE-D954C151BE88}"/>
            </a:ext>
          </a:extLst>
        </xdr:cNvPr>
        <xdr:cNvGrpSpPr/>
      </xdr:nvGrpSpPr>
      <xdr:grpSpPr>
        <a:xfrm>
          <a:off x="15281994" y="0"/>
          <a:ext cx="1006214" cy="874314"/>
          <a:chOff x="10666547" y="1933904"/>
          <a:chExt cx="1032640" cy="863203"/>
        </a:xfrm>
      </xdr:grpSpPr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D2C09977-FE01-475B-F473-152D013F0F4A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58C03D3-1844-A719-DEBB-DF667365E33B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4" name="CaixaDeTexto 83">
              <a:extLst>
                <a:ext uri="{FF2B5EF4-FFF2-40B4-BE49-F238E27FC236}">
                  <a16:creationId xmlns:a16="http://schemas.microsoft.com/office/drawing/2014/main" id="{DF9217AB-FEE4-4CA7-3A6C-4E10792E2273}"/>
                </a:ext>
              </a:extLst>
            </xdr:cNvPr>
            <xdr:cNvSpPr txBox="1"/>
          </xdr:nvSpPr>
          <xdr:spPr>
            <a:xfrm>
              <a:off x="7616883" y="528204"/>
              <a:ext cx="819830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Z Barra (0)</a:t>
              </a:r>
            </a:p>
          </xdr:txBody>
        </xdr:sp>
      </xdr:grpSp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A3579C9A-9E96-D4C5-6162-FB1A655370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517841</xdr:colOff>
      <xdr:row>0</xdr:row>
      <xdr:rowOff>853281</xdr:rowOff>
    </xdr:from>
    <xdr:to>
      <xdr:col>11</xdr:col>
      <xdr:colOff>954091</xdr:colOff>
      <xdr:row>1</xdr:row>
      <xdr:rowOff>473800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E18A6D9F-6D47-4281-9790-EA0B70EF2961}"/>
            </a:ext>
          </a:extLst>
        </xdr:cNvPr>
        <xdr:cNvSpPr txBox="1"/>
      </xdr:nvSpPr>
      <xdr:spPr>
        <a:xfrm>
          <a:off x="7580312" y="853281"/>
          <a:ext cx="3561954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500">
              <a:solidFill>
                <a:schemeClr val="tx1"/>
              </a:solidFill>
              <a:latin typeface="+mn-lt"/>
              <a:ea typeface="+mn-ea"/>
              <a:cs typeface="+mn-cs"/>
            </a:rPr>
            <a:t>Z Barra de Sequência Zero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1525107</xdr:colOff>
      <xdr:row>1</xdr:row>
      <xdr:rowOff>4140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2F1CA8D-11E7-4B84-8AFA-926B9B9C5961}"/>
            </a:ext>
          </a:extLst>
        </xdr:cNvPr>
        <xdr:cNvSpPr/>
      </xdr:nvSpPr>
      <xdr:spPr>
        <a:xfrm>
          <a:off x="0" y="0"/>
          <a:ext cx="5762474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58615</xdr:colOff>
      <xdr:row>0</xdr:row>
      <xdr:rowOff>87924</xdr:rowOff>
    </xdr:from>
    <xdr:to>
      <xdr:col>1</xdr:col>
      <xdr:colOff>113176</xdr:colOff>
      <xdr:row>0</xdr:row>
      <xdr:rowOff>787329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2E4B3EAC-7728-4600-86AE-214FAE3BD4CE}"/>
            </a:ext>
          </a:extLst>
        </xdr:cNvPr>
        <xdr:cNvSpPr/>
      </xdr:nvSpPr>
      <xdr:spPr>
        <a:xfrm rot="21430735">
          <a:off x="58615" y="87924"/>
          <a:ext cx="658585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109281</xdr:colOff>
      <xdr:row>0</xdr:row>
      <xdr:rowOff>131680</xdr:rowOff>
    </xdr:from>
    <xdr:to>
      <xdr:col>8</xdr:col>
      <xdr:colOff>113551</xdr:colOff>
      <xdr:row>0</xdr:row>
      <xdr:rowOff>724919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819DED5-3D2F-40CE-A4FB-72C214420967}"/>
            </a:ext>
          </a:extLst>
        </xdr:cNvPr>
        <xdr:cNvSpPr txBox="1"/>
      </xdr:nvSpPr>
      <xdr:spPr>
        <a:xfrm>
          <a:off x="713305" y="131680"/>
          <a:ext cx="5353886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8</xdr:col>
      <xdr:colOff>994185</xdr:colOff>
      <xdr:row>0</xdr:row>
      <xdr:rowOff>1375</xdr:rowOff>
    </xdr:from>
    <xdr:to>
      <xdr:col>9</xdr:col>
      <xdr:colOff>645773</xdr:colOff>
      <xdr:row>1</xdr:row>
      <xdr:rowOff>1686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61E245-14F7-4E96-B957-0B0408D4BFC4}"/>
            </a:ext>
          </a:extLst>
        </xdr:cNvPr>
        <xdr:cNvGrpSpPr>
          <a:grpSpLocks noChangeAspect="1"/>
        </xdr:cNvGrpSpPr>
      </xdr:nvGrpSpPr>
      <xdr:grpSpPr>
        <a:xfrm>
          <a:off x="6985410" y="1375"/>
          <a:ext cx="1032713" cy="867086"/>
          <a:chOff x="7411601" y="0"/>
          <a:chExt cx="1030879" cy="870672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66F4A0BE-7BFF-BBF9-475E-0E06D968A7EE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3509315F-2764-CB96-0BC7-0ECBF4A526F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8BD6EC0-D560-92AB-3372-0CD44598DB2A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10</xdr:col>
      <xdr:colOff>304084</xdr:colOff>
      <xdr:row>0</xdr:row>
      <xdr:rowOff>7522</xdr:rowOff>
    </xdr:from>
    <xdr:to>
      <xdr:col>10</xdr:col>
      <xdr:colOff>1347440</xdr:colOff>
      <xdr:row>1</xdr:row>
      <xdr:rowOff>1686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2C866F-0EF2-4D6A-9AF1-B47BE46159A8}"/>
            </a:ext>
          </a:extLst>
        </xdr:cNvPr>
        <xdr:cNvGrpSpPr>
          <a:grpSpLocks noChangeAspect="1"/>
        </xdr:cNvGrpSpPr>
      </xdr:nvGrpSpPr>
      <xdr:grpSpPr>
        <a:xfrm>
          <a:off x="9057559" y="7522"/>
          <a:ext cx="1043356" cy="860939"/>
          <a:chOff x="10249990" y="1546698"/>
          <a:chExt cx="1026770" cy="863203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0E6F3FB0-7FBF-F665-A439-A8D68222D32C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52B19DAF-A6CD-64E1-1F23-7684780A1D50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ECC8569F-6B59-42C3-BC6A-2722BF4C3D0A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6CDA39EF-AA9A-1B62-5032-7BFC580D3E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546052</xdr:colOff>
      <xdr:row>0</xdr:row>
      <xdr:rowOff>0</xdr:rowOff>
    </xdr:from>
    <xdr:to>
      <xdr:col>10</xdr:col>
      <xdr:colOff>405977</xdr:colOff>
      <xdr:row>1</xdr:row>
      <xdr:rowOff>1686</xdr:rowOff>
    </xdr:to>
    <xdr:grpSp>
      <xdr:nvGrpSpPr>
        <xdr:cNvPr id="14" name="Agrupar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BFB797B-E462-44C8-8D6B-F5B39533F535}"/>
            </a:ext>
          </a:extLst>
        </xdr:cNvPr>
        <xdr:cNvGrpSpPr>
          <a:grpSpLocks noChangeAspect="1"/>
        </xdr:cNvGrpSpPr>
      </xdr:nvGrpSpPr>
      <xdr:grpSpPr>
        <a:xfrm>
          <a:off x="7918402" y="0"/>
          <a:ext cx="1241050" cy="868461"/>
          <a:chOff x="10965361" y="1520404"/>
          <a:chExt cx="1231803" cy="870836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FAE69ED-03A8-573E-A450-5B5C28EECC04}"/>
              </a:ext>
            </a:extLst>
          </xdr:cNvPr>
          <xdr:cNvGrpSpPr/>
        </xdr:nvGrpSpPr>
        <xdr:grpSpPr>
          <a:xfrm>
            <a:off x="10965361" y="1520404"/>
            <a:ext cx="1231803" cy="870836"/>
            <a:chOff x="7404233" y="-1"/>
            <a:chExt cx="1229457" cy="878371"/>
          </a:xfrm>
        </xdr:grpSpPr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2CE8A1C8-B4A1-9547-5342-F4A838140DBF}"/>
                </a:ext>
              </a:extLst>
            </xdr:cNvPr>
            <xdr:cNvSpPr/>
          </xdr:nvSpPr>
          <xdr:spPr>
            <a:xfrm>
              <a:off x="7510695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CE14DE88-6E0D-6980-E483-8E42DC88DF76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Transformadores</a:t>
              </a:r>
            </a:p>
          </xdr:txBody>
        </xdr:sp>
      </xdr:grp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3D847EED-99D0-AEEC-EB47-8B7B767A3C8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1657527</xdr:colOff>
      <xdr:row>0</xdr:row>
      <xdr:rowOff>1375</xdr:rowOff>
    </xdr:from>
    <xdr:to>
      <xdr:col>8</xdr:col>
      <xdr:colOff>1035230</xdr:colOff>
      <xdr:row>1</xdr:row>
      <xdr:rowOff>1686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1CF7F5C-F591-4D8E-8694-7ADDCE689B8B}"/>
            </a:ext>
          </a:extLst>
        </xdr:cNvPr>
        <xdr:cNvGrpSpPr>
          <a:grpSpLocks noChangeAspect="1"/>
        </xdr:cNvGrpSpPr>
      </xdr:nvGrpSpPr>
      <xdr:grpSpPr>
        <a:xfrm>
          <a:off x="5924727" y="1375"/>
          <a:ext cx="1101728" cy="867086"/>
          <a:chOff x="8052741" y="2471157"/>
          <a:chExt cx="1082687" cy="863203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54BD5C39-1618-0D0B-A4FB-5551355DE7E3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76821EEB-C5C9-DDAC-87EA-F9C872F43A41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AD2B1D8-28D1-7D72-EA39-02D45F604F98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7367325-BB3F-EB57-3125-6394307E8C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1340828</xdr:colOff>
      <xdr:row>0</xdr:row>
      <xdr:rowOff>5847</xdr:rowOff>
    </xdr:from>
    <xdr:to>
      <xdr:col>11</xdr:col>
      <xdr:colOff>975833</xdr:colOff>
      <xdr:row>1</xdr:row>
      <xdr:rowOff>1686</xdr:rowOff>
    </xdr:to>
    <xdr:grpSp>
      <xdr:nvGrpSpPr>
        <xdr:cNvPr id="24" name="Agrupar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3D4B5E1-1149-4173-A7C8-64A1E1E36709}"/>
            </a:ext>
          </a:extLst>
        </xdr:cNvPr>
        <xdr:cNvGrpSpPr>
          <a:grpSpLocks noChangeAspect="1"/>
        </xdr:cNvGrpSpPr>
      </xdr:nvGrpSpPr>
      <xdr:grpSpPr>
        <a:xfrm>
          <a:off x="10094303" y="5847"/>
          <a:ext cx="1016130" cy="862614"/>
          <a:chOff x="9899139" y="1970356"/>
          <a:chExt cx="1028548" cy="858001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B055938F-B092-47B5-2103-FFF86070AF6D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27" name="Retângulo 26">
              <a:extLst>
                <a:ext uri="{FF2B5EF4-FFF2-40B4-BE49-F238E27FC236}">
                  <a16:creationId xmlns:a16="http://schemas.microsoft.com/office/drawing/2014/main" id="{61A795FB-B18E-5DE9-B127-7E2E2F854D70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9BA0A057-9174-42B9-7184-7DDFAD4A3B97}"/>
                </a:ext>
              </a:extLst>
            </xdr:cNvPr>
            <xdr:cNvSpPr txBox="1"/>
          </xdr:nvSpPr>
          <xdr:spPr>
            <a:xfrm>
              <a:off x="7613268" y="528204"/>
              <a:ext cx="786810" cy="2822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D4982105-3F84-B089-33A1-D89EF27445C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22</xdr:col>
      <xdr:colOff>83407</xdr:colOff>
      <xdr:row>0</xdr:row>
      <xdr:rowOff>645</xdr:rowOff>
    </xdr:from>
    <xdr:to>
      <xdr:col>24</xdr:col>
      <xdr:colOff>4501</xdr:colOff>
      <xdr:row>1</xdr:row>
      <xdr:rowOff>1686</xdr:rowOff>
    </xdr:to>
    <xdr:grpSp>
      <xdr:nvGrpSpPr>
        <xdr:cNvPr id="34" name="Agrupar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C2AC0D1-C9C5-4917-B2FA-ECBA6B0BD961}"/>
            </a:ext>
          </a:extLst>
        </xdr:cNvPr>
        <xdr:cNvGrpSpPr>
          <a:grpSpLocks noChangeAspect="1"/>
        </xdr:cNvGrpSpPr>
      </xdr:nvGrpSpPr>
      <xdr:grpSpPr>
        <a:xfrm>
          <a:off x="17180782" y="645"/>
          <a:ext cx="1140294" cy="867816"/>
          <a:chOff x="7441106" y="2890839"/>
          <a:chExt cx="1139825" cy="868444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CAC3A2CD-F896-50E8-D257-489692F05FA5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5E78C3C7-7709-119F-4880-C683A9234885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A84B2E21-E637-22F2-D5F2-9B3039BDE77B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49A1E567-3601-C3E6-F0C4-EBEFFA75D2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970468</xdr:colOff>
      <xdr:row>0</xdr:row>
      <xdr:rowOff>0</xdr:rowOff>
    </xdr:from>
    <xdr:to>
      <xdr:col>12</xdr:col>
      <xdr:colOff>612517</xdr:colOff>
      <xdr:row>1</xdr:row>
      <xdr:rowOff>4512</xdr:rowOff>
    </xdr:to>
    <xdr:grpSp>
      <xdr:nvGrpSpPr>
        <xdr:cNvPr id="39" name="Agrupar 3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A2CDB31-86D2-4874-8596-71B5D1CC29E8}"/>
            </a:ext>
          </a:extLst>
        </xdr:cNvPr>
        <xdr:cNvGrpSpPr/>
      </xdr:nvGrpSpPr>
      <xdr:grpSpPr>
        <a:xfrm>
          <a:off x="11105068" y="0"/>
          <a:ext cx="1023174" cy="871287"/>
          <a:chOff x="11001468" y="5333162"/>
          <a:chExt cx="1026441" cy="863203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6AC6A3E1-4A28-7888-5506-57B2A1EAEBB4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2AF45F67-1719-29AC-1BC0-2BD66BC2A94A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7BD0AC7F-AC05-5408-73EE-8F69AE4D50D6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41" name="Conector de Seta Reta 40">
            <a:extLst>
              <a:ext uri="{FF2B5EF4-FFF2-40B4-BE49-F238E27FC236}">
                <a16:creationId xmlns:a16="http://schemas.microsoft.com/office/drawing/2014/main" id="{F4138D02-5142-DDF0-58F5-3D20B861FD0C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12</xdr:col>
      <xdr:colOff>518734</xdr:colOff>
      <xdr:row>0</xdr:row>
      <xdr:rowOff>0</xdr:rowOff>
    </xdr:from>
    <xdr:to>
      <xdr:col>13</xdr:col>
      <xdr:colOff>153806</xdr:colOff>
      <xdr:row>1</xdr:row>
      <xdr:rowOff>1792</xdr:rowOff>
    </xdr:to>
    <xdr:grpSp>
      <xdr:nvGrpSpPr>
        <xdr:cNvPr id="44" name="Agrupar 4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1FA9212-47BA-45EB-82B5-9734FF2CEA34}"/>
            </a:ext>
          </a:extLst>
        </xdr:cNvPr>
        <xdr:cNvGrpSpPr>
          <a:grpSpLocks noChangeAspect="1"/>
        </xdr:cNvGrpSpPr>
      </xdr:nvGrpSpPr>
      <xdr:grpSpPr>
        <a:xfrm>
          <a:off x="12034459" y="0"/>
          <a:ext cx="1016197" cy="868567"/>
          <a:chOff x="10744060" y="2050831"/>
          <a:chExt cx="1032640" cy="858001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B82F39D3-0612-9C07-ACA9-F3317DA7795A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50396E8B-D9F6-03CE-75D9-DC84E449E1A0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F977143-AA36-C554-B3C5-35270F968A42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8DFF02BE-24B2-AEB7-2424-D256C30640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205060</xdr:colOff>
      <xdr:row>0</xdr:row>
      <xdr:rowOff>0</xdr:rowOff>
    </xdr:from>
    <xdr:to>
      <xdr:col>13</xdr:col>
      <xdr:colOff>1213231</xdr:colOff>
      <xdr:row>1</xdr:row>
      <xdr:rowOff>1686</xdr:rowOff>
    </xdr:to>
    <xdr:grpSp>
      <xdr:nvGrpSpPr>
        <xdr:cNvPr id="49" name="Agrupar 4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0C34F1A-EC91-4382-8F9A-CCEB9FC3AC5B}"/>
            </a:ext>
          </a:extLst>
        </xdr:cNvPr>
        <xdr:cNvGrpSpPr>
          <a:grpSpLocks noChangeAspect="1"/>
        </xdr:cNvGrpSpPr>
      </xdr:nvGrpSpPr>
      <xdr:grpSpPr>
        <a:xfrm>
          <a:off x="13101910" y="0"/>
          <a:ext cx="1008171" cy="868461"/>
          <a:chOff x="10744060" y="2050830"/>
          <a:chExt cx="1032640" cy="870836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DFF4BA10-B56E-8051-D210-82770FF45C39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84CD4B77-28B2-4C91-8411-0B9404CD923C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0758E025-7579-7BA3-8D38-CC1E18B62669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29D5D8AD-6C09-D9F5-D0DE-60BA7607D9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1194001</xdr:colOff>
      <xdr:row>0</xdr:row>
      <xdr:rowOff>1</xdr:rowOff>
    </xdr:from>
    <xdr:to>
      <xdr:col>17</xdr:col>
      <xdr:colOff>56005</xdr:colOff>
      <xdr:row>0</xdr:row>
      <xdr:rowOff>810328</xdr:rowOff>
    </xdr:to>
    <xdr:grpSp>
      <xdr:nvGrpSpPr>
        <xdr:cNvPr id="54" name="Agrupar 5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FF230205-3B47-4466-8E79-138903554BE1}"/>
            </a:ext>
          </a:extLst>
        </xdr:cNvPr>
        <xdr:cNvGrpSpPr>
          <a:grpSpLocks noChangeAspect="1"/>
        </xdr:cNvGrpSpPr>
      </xdr:nvGrpSpPr>
      <xdr:grpSpPr>
        <a:xfrm>
          <a:off x="14090851" y="1"/>
          <a:ext cx="1043229" cy="810327"/>
          <a:chOff x="10666547" y="1933905"/>
          <a:chExt cx="1032640" cy="803877"/>
        </a:xfrm>
      </xdr:grpSpPr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DB67916B-5625-5EEF-F0C0-678CEC202F95}"/>
              </a:ext>
            </a:extLst>
          </xdr:cNvPr>
          <xdr:cNvGrpSpPr/>
        </xdr:nvGrpSpPr>
        <xdr:grpSpPr>
          <a:xfrm>
            <a:off x="10666547" y="1933905"/>
            <a:ext cx="1032640" cy="803877"/>
            <a:chOff x="7510696" y="1"/>
            <a:chExt cx="1030879" cy="810833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DE864439-CDCC-A056-3D44-03EFDB5D2C9A}"/>
                </a:ext>
              </a:extLst>
            </xdr:cNvPr>
            <xdr:cNvSpPr/>
          </xdr:nvSpPr>
          <xdr:spPr>
            <a:xfrm>
              <a:off x="7510696" y="1"/>
              <a:ext cx="1030879" cy="79424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50AB2BE4-D443-51F0-498E-8CBB22FF4ECB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8C08DDE-AA50-813B-ECE6-177CBD38B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257577</xdr:colOff>
      <xdr:row>0</xdr:row>
      <xdr:rowOff>853281</xdr:rowOff>
    </xdr:from>
    <xdr:to>
      <xdr:col>12</xdr:col>
      <xdr:colOff>429436</xdr:colOff>
      <xdr:row>1</xdr:row>
      <xdr:rowOff>473800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93BC3E44-D6EB-4B90-8D35-3F2F66FD9077}"/>
            </a:ext>
          </a:extLst>
        </xdr:cNvPr>
        <xdr:cNvSpPr txBox="1"/>
      </xdr:nvSpPr>
      <xdr:spPr>
        <a:xfrm>
          <a:off x="7580312" y="853281"/>
          <a:ext cx="4325938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500">
              <a:solidFill>
                <a:schemeClr val="tx1"/>
              </a:solidFill>
              <a:latin typeface="+mn-lt"/>
              <a:ea typeface="+mn-ea"/>
              <a:cs typeface="+mn-cs"/>
            </a:rPr>
            <a:t>Relatório</a:t>
          </a:r>
          <a:r>
            <a:rPr lang="pt-BR" sz="2500" baseline="0">
              <a:solidFill>
                <a:schemeClr val="tx1"/>
              </a:solidFill>
              <a:latin typeface="+mn-lt"/>
              <a:ea typeface="+mn-ea"/>
              <a:cs typeface="+mn-cs"/>
            </a:rPr>
            <a:t> do Caso de Estudo</a:t>
          </a:r>
          <a:endParaRPr lang="pt-BR" sz="25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18</xdr:col>
      <xdr:colOff>27768</xdr:colOff>
      <xdr:row>0</xdr:row>
      <xdr:rowOff>0</xdr:rowOff>
    </xdr:from>
    <xdr:to>
      <xdr:col>20</xdr:col>
      <xdr:colOff>349760</xdr:colOff>
      <xdr:row>1</xdr:row>
      <xdr:rowOff>1686</xdr:rowOff>
    </xdr:to>
    <xdr:grpSp>
      <xdr:nvGrpSpPr>
        <xdr:cNvPr id="65" name="Agrupar 64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BD43EE2-4087-4381-AAED-EEF6A61A8E76}"/>
            </a:ext>
          </a:extLst>
        </xdr:cNvPr>
        <xdr:cNvGrpSpPr>
          <a:grpSpLocks noChangeAspect="1"/>
        </xdr:cNvGrpSpPr>
      </xdr:nvGrpSpPr>
      <xdr:grpSpPr>
        <a:xfrm>
          <a:off x="15201093" y="0"/>
          <a:ext cx="1026842" cy="868461"/>
          <a:chOff x="10666547" y="1933903"/>
          <a:chExt cx="1032640" cy="870836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D30EACCA-72D7-8497-8809-F3995215AA3C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80280B16-42AF-A068-6A78-B974FB012CE7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6105C028-D379-AF81-12FB-2852F9C84592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4830397E-D280-7668-9746-434BDC439A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242573</xdr:colOff>
      <xdr:row>0</xdr:row>
      <xdr:rowOff>0</xdr:rowOff>
    </xdr:from>
    <xdr:to>
      <xdr:col>22</xdr:col>
      <xdr:colOff>54828</xdr:colOff>
      <xdr:row>1</xdr:row>
      <xdr:rowOff>39898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A4A5DB68-3A26-43C5-ABDD-1C732675A52D}"/>
            </a:ext>
          </a:extLst>
        </xdr:cNvPr>
        <xdr:cNvGrpSpPr/>
      </xdr:nvGrpSpPr>
      <xdr:grpSpPr>
        <a:xfrm>
          <a:off x="16120748" y="0"/>
          <a:ext cx="1031455" cy="906673"/>
          <a:chOff x="7623418" y="2437102"/>
          <a:chExt cx="1034665" cy="924262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13B7A487-1B40-A654-F3DE-9B6949C0F2E5}"/>
              </a:ext>
            </a:extLst>
          </xdr:cNvPr>
          <xdr:cNvGrpSpPr/>
        </xdr:nvGrpSpPr>
        <xdr:grpSpPr>
          <a:xfrm>
            <a:off x="7623418" y="2437102"/>
            <a:ext cx="1034665" cy="924262"/>
            <a:chOff x="7532966" y="-30794"/>
            <a:chExt cx="1030879" cy="932259"/>
          </a:xfrm>
        </xdr:grpSpPr>
        <xdr:sp macro="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id="{13795357-5D81-D05D-6288-AE274DEA8479}"/>
                </a:ext>
              </a:extLst>
            </xdr:cNvPr>
            <xdr:cNvSpPr/>
          </xdr:nvSpPr>
          <xdr:spPr>
            <a:xfrm>
              <a:off x="7532966" y="-30794"/>
              <a:ext cx="1030879" cy="932259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A5C2BBC4-5FA0-791F-7708-35B77E798C79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rgbClr val="151316"/>
                  </a:solidFill>
                </a:rPr>
                <a:t>Relatório</a:t>
              </a:r>
            </a:p>
          </xdr:txBody>
        </xdr:sp>
      </xdr:grpSp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591B8D3-9027-4ACB-5684-7D53A7B0A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2</xdr:row>
          <xdr:rowOff>190500</xdr:rowOff>
        </xdr:from>
        <xdr:to>
          <xdr:col>14</xdr:col>
          <xdr:colOff>590550</xdr:colOff>
          <xdr:row>4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Imprimir 🖨️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600447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1557B79-0436-4215-8E2D-B732197C6B87}"/>
            </a:ext>
          </a:extLst>
        </xdr:cNvPr>
        <xdr:cNvSpPr/>
      </xdr:nvSpPr>
      <xdr:spPr>
        <a:xfrm>
          <a:off x="0" y="0"/>
          <a:ext cx="5553447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112058</xdr:colOff>
      <xdr:row>0</xdr:row>
      <xdr:rowOff>67236</xdr:rowOff>
    </xdr:from>
    <xdr:to>
      <xdr:col>1</xdr:col>
      <xdr:colOff>38722</xdr:colOff>
      <xdr:row>0</xdr:row>
      <xdr:rowOff>766641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BA20E7A2-0DE4-4012-BE2A-DCB039B92BC3}"/>
            </a:ext>
          </a:extLst>
        </xdr:cNvPr>
        <xdr:cNvSpPr/>
      </xdr:nvSpPr>
      <xdr:spPr>
        <a:xfrm rot="21430735">
          <a:off x="112058" y="67236"/>
          <a:ext cx="660089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34827</xdr:colOff>
      <xdr:row>0</xdr:row>
      <xdr:rowOff>110992</xdr:rowOff>
    </xdr:from>
    <xdr:to>
      <xdr:col>5</xdr:col>
      <xdr:colOff>123269</xdr:colOff>
      <xdr:row>0</xdr:row>
      <xdr:rowOff>704231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B830528F-BD3A-4943-8FCE-3C9F922A10FC}"/>
            </a:ext>
          </a:extLst>
        </xdr:cNvPr>
        <xdr:cNvSpPr txBox="1"/>
      </xdr:nvSpPr>
      <xdr:spPr>
        <a:xfrm>
          <a:off x="768252" y="110992"/>
          <a:ext cx="5308142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Planilha de Análise de Curto</a:t>
          </a:r>
        </a:p>
      </xdr:txBody>
    </xdr:sp>
    <xdr:clientData/>
  </xdr:twoCellAnchor>
  <xdr:twoCellAnchor editAs="absolute">
    <xdr:from>
      <xdr:col>5</xdr:col>
      <xdr:colOff>1092758</xdr:colOff>
      <xdr:row>0</xdr:row>
      <xdr:rowOff>1379</xdr:rowOff>
    </xdr:from>
    <xdr:to>
      <xdr:col>6</xdr:col>
      <xdr:colOff>314779</xdr:colOff>
      <xdr:row>1</xdr:row>
      <xdr:rowOff>4000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33C55D-8AD2-4DEF-99D9-9C1053A578C6}"/>
            </a:ext>
          </a:extLst>
        </xdr:cNvPr>
        <xdr:cNvGrpSpPr>
          <a:grpSpLocks noChangeAspect="1"/>
        </xdr:cNvGrpSpPr>
      </xdr:nvGrpSpPr>
      <xdr:grpSpPr>
        <a:xfrm>
          <a:off x="7045883" y="1379"/>
          <a:ext cx="1022246" cy="869396"/>
          <a:chOff x="7411601" y="0"/>
          <a:chExt cx="1030879" cy="870672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3664A7C-CA70-25AF-4044-B733D792116F}"/>
              </a:ext>
            </a:extLst>
          </xdr:cNvPr>
          <xdr:cNvSpPr/>
        </xdr:nvSpPr>
        <xdr:spPr>
          <a:xfrm>
            <a:off x="7411601" y="0"/>
            <a:ext cx="1030879" cy="870672"/>
          </a:xfrm>
          <a:prstGeom prst="rect">
            <a:avLst/>
          </a:prstGeom>
          <a:solidFill>
            <a:srgbClr val="15131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D93A3FED-F4E4-2052-EAAA-FD175F6EECA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0293" t="14194" r="5651" b="11996"/>
          <a:stretch/>
        </xdr:blipFill>
        <xdr:spPr>
          <a:xfrm>
            <a:off x="7681597" y="73602"/>
            <a:ext cx="515216" cy="45027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5D0DEB5-ACA3-B0C8-AAA8-ACC6EA0AEC55}"/>
              </a:ext>
            </a:extLst>
          </xdr:cNvPr>
          <xdr:cNvSpPr txBox="1"/>
        </xdr:nvSpPr>
        <xdr:spPr>
          <a:xfrm>
            <a:off x="7423909" y="541354"/>
            <a:ext cx="97975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>
                <a:solidFill>
                  <a:schemeClr val="bg1"/>
                </a:solidFill>
              </a:rPr>
              <a:t>Barramentos</a:t>
            </a:r>
          </a:p>
        </xdr:txBody>
      </xdr:sp>
    </xdr:grpSp>
    <xdr:clientData/>
  </xdr:twoCellAnchor>
  <xdr:twoCellAnchor editAs="absolute">
    <xdr:from>
      <xdr:col>6</xdr:col>
      <xdr:colOff>1346522</xdr:colOff>
      <xdr:row>0</xdr:row>
      <xdr:rowOff>7542</xdr:rowOff>
    </xdr:from>
    <xdr:to>
      <xdr:col>7</xdr:col>
      <xdr:colOff>578490</xdr:colOff>
      <xdr:row>1</xdr:row>
      <xdr:rowOff>4000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1C661F0-C9F4-49D5-B303-62127E9F5C9E}"/>
            </a:ext>
          </a:extLst>
        </xdr:cNvPr>
        <xdr:cNvGrpSpPr>
          <a:grpSpLocks noChangeAspect="1"/>
        </xdr:cNvGrpSpPr>
      </xdr:nvGrpSpPr>
      <xdr:grpSpPr>
        <a:xfrm>
          <a:off x="9099872" y="7542"/>
          <a:ext cx="1032193" cy="863233"/>
          <a:chOff x="10249990" y="1546698"/>
          <a:chExt cx="1026770" cy="863203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14E78422-CFBD-6621-3E1D-9344B7C7D5C7}"/>
              </a:ext>
            </a:extLst>
          </xdr:cNvPr>
          <xdr:cNvGrpSpPr/>
        </xdr:nvGrpSpPr>
        <xdr:grpSpPr>
          <a:xfrm>
            <a:off x="10249990" y="1546698"/>
            <a:ext cx="1026770" cy="863203"/>
            <a:chOff x="7510696" y="0"/>
            <a:chExt cx="1030879" cy="870672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99C51EE0-6056-B924-428C-D209D3104514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62BBD6AB-0C42-3F46-3238-8366E34C7FC9}"/>
                </a:ext>
              </a:extLst>
            </xdr:cNvPr>
            <xdr:cNvSpPr txBox="1"/>
          </xdr:nvSpPr>
          <xdr:spPr>
            <a:xfrm>
              <a:off x="7732553" y="528204"/>
              <a:ext cx="587165" cy="2804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Linhas</a:t>
              </a:r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4BDCB839-A179-0166-8802-63890F5105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sharpenSoften amount="100000"/>
                    </a14:imgEffect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0083" y="1592904"/>
            <a:ext cx="486584" cy="486584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52747</xdr:colOff>
      <xdr:row>0</xdr:row>
      <xdr:rowOff>1379</xdr:rowOff>
    </xdr:from>
    <xdr:to>
      <xdr:col>5</xdr:col>
      <xdr:colOff>1128624</xdr:colOff>
      <xdr:row>1</xdr:row>
      <xdr:rowOff>4000</xdr:rowOff>
    </xdr:to>
    <xdr:grpSp>
      <xdr:nvGrpSpPr>
        <xdr:cNvPr id="14" name="Agrupar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5EDF132-2562-4EC3-BD24-74F8EAFEE0C2}"/>
            </a:ext>
          </a:extLst>
        </xdr:cNvPr>
        <xdr:cNvGrpSpPr>
          <a:grpSpLocks noChangeAspect="1"/>
        </xdr:cNvGrpSpPr>
      </xdr:nvGrpSpPr>
      <xdr:grpSpPr>
        <a:xfrm>
          <a:off x="6005872" y="1379"/>
          <a:ext cx="1075877" cy="869396"/>
          <a:chOff x="8052741" y="2471157"/>
          <a:chExt cx="1082687" cy="863203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AB30C2A3-BFEF-3EF7-C2FB-E9C80391C24D}"/>
              </a:ext>
            </a:extLst>
          </xdr:cNvPr>
          <xdr:cNvGrpSpPr/>
        </xdr:nvGrpSpPr>
        <xdr:grpSpPr>
          <a:xfrm>
            <a:off x="8052741" y="2471157"/>
            <a:ext cx="1082687" cy="863203"/>
            <a:chOff x="7519888" y="0"/>
            <a:chExt cx="1083194" cy="870672"/>
          </a:xfrm>
        </xdr:grpSpPr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7C99694C-6E24-8741-F97C-4AB9B09ACB1E}"/>
                </a:ext>
              </a:extLst>
            </xdr:cNvPr>
            <xdr:cNvSpPr/>
          </xdr:nvSpPr>
          <xdr:spPr>
            <a:xfrm>
              <a:off x="754604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F2449B47-E1A8-3830-86F8-2EE41C34104D}"/>
                </a:ext>
              </a:extLst>
            </xdr:cNvPr>
            <xdr:cNvSpPr txBox="1"/>
          </xdr:nvSpPr>
          <xdr:spPr>
            <a:xfrm>
              <a:off x="7519888" y="528204"/>
              <a:ext cx="108319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Configurações</a:t>
              </a:r>
            </a:p>
          </xdr:txBody>
        </xdr:sp>
      </xdr:grp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5C686BA8-C3C3-2625-6938-A8EB457B2C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8918" y="2525143"/>
            <a:ext cx="490332" cy="490332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571909</xdr:colOff>
      <xdr:row>0</xdr:row>
      <xdr:rowOff>5863</xdr:rowOff>
    </xdr:from>
    <xdr:to>
      <xdr:col>7</xdr:col>
      <xdr:colOff>1601423</xdr:colOff>
      <xdr:row>1</xdr:row>
      <xdr:rowOff>4000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5DF4A76-F5B9-4DC7-84B0-3F2242D1ECCE}"/>
            </a:ext>
          </a:extLst>
        </xdr:cNvPr>
        <xdr:cNvGrpSpPr>
          <a:grpSpLocks noChangeAspect="1"/>
        </xdr:cNvGrpSpPr>
      </xdr:nvGrpSpPr>
      <xdr:grpSpPr>
        <a:xfrm>
          <a:off x="10125484" y="5863"/>
          <a:ext cx="1029514" cy="864912"/>
          <a:chOff x="9899139" y="1970356"/>
          <a:chExt cx="1028548" cy="858001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B562952-4A88-EF34-B232-5B8DCC9473C7}"/>
              </a:ext>
            </a:extLst>
          </xdr:cNvPr>
          <xdr:cNvGrpSpPr/>
        </xdr:nvGrpSpPr>
        <xdr:grpSpPr>
          <a:xfrm>
            <a:off x="9899139" y="1970356"/>
            <a:ext cx="1028548" cy="858001"/>
            <a:chOff x="7510696" y="0"/>
            <a:chExt cx="1030879" cy="865425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73EDB9BE-4018-D769-301B-2B415BA457BF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A4EBAB83-5C68-5061-27BB-0579902F4BC5}"/>
                </a:ext>
              </a:extLst>
            </xdr:cNvPr>
            <xdr:cNvSpPr txBox="1"/>
          </xdr:nvSpPr>
          <xdr:spPr>
            <a:xfrm>
              <a:off x="7643637" y="528204"/>
              <a:ext cx="791718" cy="2818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Máquinas</a:t>
              </a:r>
            </a:p>
          </xdr:txBody>
        </xdr:sp>
      </xdr:grp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8CE898A6-17F0-60C8-7B62-B940790FDC8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17442" b="17857"/>
          <a:stretch/>
        </xdr:blipFill>
        <xdr:spPr>
          <a:xfrm>
            <a:off x="10084273" y="2065565"/>
            <a:ext cx="658281" cy="424542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58221</xdr:colOff>
      <xdr:row>0</xdr:row>
      <xdr:rowOff>5863</xdr:rowOff>
    </xdr:from>
    <xdr:to>
      <xdr:col>10</xdr:col>
      <xdr:colOff>320226</xdr:colOff>
      <xdr:row>1</xdr:row>
      <xdr:rowOff>4000</xdr:rowOff>
    </xdr:to>
    <xdr:grpSp>
      <xdr:nvGrpSpPr>
        <xdr:cNvPr id="24" name="Agrupar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B22C75A-A5C7-46B6-8568-C894B04C3E70}"/>
            </a:ext>
          </a:extLst>
        </xdr:cNvPr>
        <xdr:cNvGrpSpPr>
          <a:grpSpLocks noChangeAspect="1"/>
        </xdr:cNvGrpSpPr>
      </xdr:nvGrpSpPr>
      <xdr:grpSpPr>
        <a:xfrm>
          <a:off x="12174021" y="5863"/>
          <a:ext cx="1024005" cy="864912"/>
          <a:chOff x="10744060" y="2050831"/>
          <a:chExt cx="1032640" cy="858001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0C12CF42-C37A-AE37-C54D-0D7A955F7A2C}"/>
              </a:ext>
            </a:extLst>
          </xdr:cNvPr>
          <xdr:cNvGrpSpPr/>
        </xdr:nvGrpSpPr>
        <xdr:grpSpPr>
          <a:xfrm>
            <a:off x="10744060" y="2050831"/>
            <a:ext cx="1032640" cy="858001"/>
            <a:chOff x="7510696" y="0"/>
            <a:chExt cx="1030879" cy="865425"/>
          </a:xfrm>
        </xdr:grpSpPr>
        <xdr:sp macro="" textlink="">
          <xdr:nvSpPr>
            <xdr:cNvPr id="27" name="Retângulo 26">
              <a:extLst>
                <a:ext uri="{FF2B5EF4-FFF2-40B4-BE49-F238E27FC236}">
                  <a16:creationId xmlns:a16="http://schemas.microsoft.com/office/drawing/2014/main" id="{89250FD3-4AE2-FE21-A204-05763DF22038}"/>
                </a:ext>
              </a:extLst>
            </xdr:cNvPr>
            <xdr:cNvSpPr/>
          </xdr:nvSpPr>
          <xdr:spPr>
            <a:xfrm>
              <a:off x="7510696" y="0"/>
              <a:ext cx="1030879" cy="865425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9202415D-5439-8BEC-203C-F297D0912569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(+) (-)</a:t>
              </a:r>
            </a:p>
          </xdr:txBody>
        </xdr:sp>
      </xdr:grp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1F62B9AE-DE1F-247D-4C8B-B8E1167616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313645</xdr:colOff>
      <xdr:row>0</xdr:row>
      <xdr:rowOff>0</xdr:rowOff>
    </xdr:from>
    <xdr:to>
      <xdr:col>11</xdr:col>
      <xdr:colOff>471040</xdr:colOff>
      <xdr:row>1</xdr:row>
      <xdr:rowOff>4000</xdr:rowOff>
    </xdr:to>
    <xdr:grpSp>
      <xdr:nvGrpSpPr>
        <xdr:cNvPr id="29" name="Agrupar 2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89E1759-5575-4C53-859E-77CC73D589E3}"/>
            </a:ext>
          </a:extLst>
        </xdr:cNvPr>
        <xdr:cNvGrpSpPr>
          <a:grpSpLocks noChangeAspect="1"/>
        </xdr:cNvGrpSpPr>
      </xdr:nvGrpSpPr>
      <xdr:grpSpPr>
        <a:xfrm>
          <a:off x="13191445" y="0"/>
          <a:ext cx="1024170" cy="870775"/>
          <a:chOff x="10744060" y="2050830"/>
          <a:chExt cx="1032640" cy="870836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E45CF62F-5A95-4BE8-D53A-0AB284C7E54B}"/>
              </a:ext>
            </a:extLst>
          </xdr:cNvPr>
          <xdr:cNvGrpSpPr/>
        </xdr:nvGrpSpPr>
        <xdr:grpSpPr>
          <a:xfrm>
            <a:off x="10744060" y="2050830"/>
            <a:ext cx="1032640" cy="870836"/>
            <a:chOff x="7510696" y="-1"/>
            <a:chExt cx="1030879" cy="878371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496FF199-EEC5-555D-6EA4-C942B227D12D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A9CB44F0-D72E-1DFB-4906-6ED1C80A80D8}"/>
                </a:ext>
              </a:extLst>
            </xdr:cNvPr>
            <xdr:cNvSpPr txBox="1"/>
          </xdr:nvSpPr>
          <xdr:spPr>
            <a:xfrm>
              <a:off x="7532260" y="528204"/>
              <a:ext cx="987751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(+) (-)</a:t>
              </a:r>
            </a:p>
          </xdr:txBody>
        </xdr:sp>
      </xdr:grp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F393B2C-F49A-EECD-A75F-83367E7515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77915" y="2064672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464457</xdr:colOff>
      <xdr:row>0</xdr:row>
      <xdr:rowOff>646</xdr:rowOff>
    </xdr:from>
    <xdr:to>
      <xdr:col>12</xdr:col>
      <xdr:colOff>610012</xdr:colOff>
      <xdr:row>1</xdr:row>
      <xdr:rowOff>4000</xdr:rowOff>
    </xdr:to>
    <xdr:grpSp>
      <xdr:nvGrpSpPr>
        <xdr:cNvPr id="34" name="Agrupar 3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BD07164-BE76-4BEF-BADA-DF37E48C9D1C}"/>
            </a:ext>
          </a:extLst>
        </xdr:cNvPr>
        <xdr:cNvGrpSpPr>
          <a:grpSpLocks noChangeAspect="1"/>
        </xdr:cNvGrpSpPr>
      </xdr:nvGrpSpPr>
      <xdr:grpSpPr>
        <a:xfrm>
          <a:off x="14209032" y="646"/>
          <a:ext cx="1021855" cy="870129"/>
          <a:chOff x="10666547" y="1933904"/>
          <a:chExt cx="1032640" cy="863203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CA13F83B-FE13-6A86-A371-E239E6A28506}"/>
              </a:ext>
            </a:extLst>
          </xdr:cNvPr>
          <xdr:cNvGrpSpPr/>
        </xdr:nvGrpSpPr>
        <xdr:grpSpPr>
          <a:xfrm>
            <a:off x="10666547" y="1933904"/>
            <a:ext cx="1032640" cy="863203"/>
            <a:chOff x="7510696" y="0"/>
            <a:chExt cx="1030879" cy="870672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533E37D2-8110-0E14-3BAC-3C194A2E0EE8}"/>
                </a:ext>
              </a:extLst>
            </xdr:cNvPr>
            <xdr:cNvSpPr/>
          </xdr:nvSpPr>
          <xdr:spPr>
            <a:xfrm>
              <a:off x="751069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B081E14-1215-4553-6B43-489650A20916}"/>
                </a:ext>
              </a:extLst>
            </xdr:cNvPr>
            <xdr:cNvSpPr txBox="1"/>
          </xdr:nvSpPr>
          <xdr:spPr>
            <a:xfrm>
              <a:off x="7616883" y="528204"/>
              <a:ext cx="818506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Y Barra (0)</a:t>
              </a:r>
            </a:p>
          </xdr:txBody>
        </xdr:sp>
      </xdr:grp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EA66E798-C6F1-FF19-0BD2-045060EBE0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603431</xdr:colOff>
      <xdr:row>0</xdr:row>
      <xdr:rowOff>0</xdr:rowOff>
    </xdr:from>
    <xdr:to>
      <xdr:col>13</xdr:col>
      <xdr:colOff>276493</xdr:colOff>
      <xdr:row>1</xdr:row>
      <xdr:rowOff>4000</xdr:rowOff>
    </xdr:to>
    <xdr:grpSp>
      <xdr:nvGrpSpPr>
        <xdr:cNvPr id="39" name="Agrupar 3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5AD37C0-864C-492D-8B01-18C2249B9228}"/>
            </a:ext>
          </a:extLst>
        </xdr:cNvPr>
        <xdr:cNvGrpSpPr>
          <a:grpSpLocks noChangeAspect="1"/>
        </xdr:cNvGrpSpPr>
      </xdr:nvGrpSpPr>
      <xdr:grpSpPr>
        <a:xfrm>
          <a:off x="15224306" y="0"/>
          <a:ext cx="1025612" cy="870775"/>
          <a:chOff x="10666547" y="1933903"/>
          <a:chExt cx="1032640" cy="870836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3E66B84E-9AE9-8CD0-F8CD-5125FB8EB970}"/>
              </a:ext>
            </a:extLst>
          </xdr:cNvPr>
          <xdr:cNvGrpSpPr/>
        </xdr:nvGrpSpPr>
        <xdr:grpSpPr>
          <a:xfrm>
            <a:off x="10666547" y="1933903"/>
            <a:ext cx="1032640" cy="870836"/>
            <a:chOff x="7510696" y="-1"/>
            <a:chExt cx="1030879" cy="878371"/>
          </a:xfrm>
        </xdr:grpSpPr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4C3CB4AF-DCE5-DB09-78A1-C286276FC257}"/>
                </a:ext>
              </a:extLst>
            </xdr:cNvPr>
            <xdr:cNvSpPr/>
          </xdr:nvSpPr>
          <xdr:spPr>
            <a:xfrm>
              <a:off x="7510696" y="-1"/>
              <a:ext cx="1030879" cy="878371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9B76C2A7-8626-3AC8-C2E4-A2FF0817D255}"/>
                </a:ext>
              </a:extLst>
            </xdr:cNvPr>
            <xdr:cNvSpPr txBox="1"/>
          </xdr:nvSpPr>
          <xdr:spPr>
            <a:xfrm>
              <a:off x="7616883" y="528204"/>
              <a:ext cx="815114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Z Barra (0)</a:t>
              </a:r>
            </a:p>
          </xdr:txBody>
        </xdr:sp>
      </xdr:grp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D025C295-83C9-CCF7-0D55-F7556CAD97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402" y="1947745"/>
            <a:ext cx="564931" cy="564931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269911</xdr:colOff>
      <xdr:row>0</xdr:row>
      <xdr:rowOff>646</xdr:rowOff>
    </xdr:from>
    <xdr:to>
      <xdr:col>14</xdr:col>
      <xdr:colOff>191489</xdr:colOff>
      <xdr:row>1</xdr:row>
      <xdr:rowOff>4000</xdr:rowOff>
    </xdr:to>
    <xdr:grpSp>
      <xdr:nvGrpSpPr>
        <xdr:cNvPr id="44" name="Agrupar 4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CC1F300-4209-41BB-B11A-8379D1B60643}"/>
            </a:ext>
          </a:extLst>
        </xdr:cNvPr>
        <xdr:cNvGrpSpPr>
          <a:grpSpLocks noChangeAspect="1"/>
        </xdr:cNvGrpSpPr>
      </xdr:nvGrpSpPr>
      <xdr:grpSpPr>
        <a:xfrm>
          <a:off x="16243336" y="646"/>
          <a:ext cx="1026478" cy="870129"/>
          <a:chOff x="7623418" y="2467632"/>
          <a:chExt cx="1034665" cy="863203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28ECA6FE-1649-5561-8D07-7A56542A3300}"/>
              </a:ext>
            </a:extLst>
          </xdr:cNvPr>
          <xdr:cNvGrpSpPr/>
        </xdr:nvGrpSpPr>
        <xdr:grpSpPr>
          <a:xfrm>
            <a:off x="7623418" y="2467632"/>
            <a:ext cx="1034665" cy="863203"/>
            <a:chOff x="7532966" y="0"/>
            <a:chExt cx="1030879" cy="870672"/>
          </a:xfrm>
        </xdr:grpSpPr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9245B616-A3DC-8D2C-697E-4A5376597E47}"/>
                </a:ext>
              </a:extLst>
            </xdr:cNvPr>
            <xdr:cNvSpPr/>
          </xdr:nvSpPr>
          <xdr:spPr>
            <a:xfrm>
              <a:off x="7532966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A892EE29-9971-F761-97F2-249241C43C00}"/>
                </a:ext>
              </a:extLst>
            </xdr:cNvPr>
            <xdr:cNvSpPr txBox="1"/>
          </xdr:nvSpPr>
          <xdr:spPr>
            <a:xfrm>
              <a:off x="7679657" y="528204"/>
              <a:ext cx="737495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Relatório</a:t>
              </a:r>
            </a:p>
          </xdr:txBody>
        </xdr:sp>
      </xdr:grp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141A6E0-2FC4-CEA2-D451-E0F3CDD35F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7552" y="2531069"/>
            <a:ext cx="466396" cy="466396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133664</xdr:colOff>
      <xdr:row>0</xdr:row>
      <xdr:rowOff>647</xdr:rowOff>
    </xdr:from>
    <xdr:to>
      <xdr:col>15</xdr:col>
      <xdr:colOff>172487</xdr:colOff>
      <xdr:row>1</xdr:row>
      <xdr:rowOff>4000</xdr:rowOff>
    </xdr:to>
    <xdr:grpSp>
      <xdr:nvGrpSpPr>
        <xdr:cNvPr id="49" name="Agrupar 4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1C66308-9A73-4073-9FFD-02199BF6D84D}"/>
            </a:ext>
          </a:extLst>
        </xdr:cNvPr>
        <xdr:cNvGrpSpPr>
          <a:grpSpLocks noChangeAspect="1"/>
        </xdr:cNvGrpSpPr>
      </xdr:nvGrpSpPr>
      <xdr:grpSpPr>
        <a:xfrm>
          <a:off x="17211989" y="647"/>
          <a:ext cx="1143723" cy="870128"/>
          <a:chOff x="7441106" y="2890839"/>
          <a:chExt cx="1139825" cy="868444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ADBF72DF-E6EE-940F-657A-BC37192A32DB}"/>
              </a:ext>
            </a:extLst>
          </xdr:cNvPr>
          <xdr:cNvGrpSpPr/>
        </xdr:nvGrpSpPr>
        <xdr:grpSpPr>
          <a:xfrm>
            <a:off x="7441106" y="2890839"/>
            <a:ext cx="1139825" cy="868444"/>
            <a:chOff x="7519888" y="1"/>
            <a:chExt cx="1142799" cy="871996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F19D4700-D56B-7718-D5F1-CBC0825C1DD8}"/>
                </a:ext>
              </a:extLst>
            </xdr:cNvPr>
            <xdr:cNvSpPr/>
          </xdr:nvSpPr>
          <xdr:spPr>
            <a:xfrm>
              <a:off x="7575848" y="1"/>
              <a:ext cx="1030879" cy="871996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02262550-4883-EB04-0177-F3290F778E19}"/>
                </a:ext>
              </a:extLst>
            </xdr:cNvPr>
            <xdr:cNvSpPr txBox="1"/>
          </xdr:nvSpPr>
          <xdr:spPr>
            <a:xfrm>
              <a:off x="7519888" y="528204"/>
              <a:ext cx="1142799" cy="281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200">
                  <a:solidFill>
                    <a:schemeClr val="bg1"/>
                  </a:solidFill>
                </a:rPr>
                <a:t>Gerar</a:t>
              </a:r>
              <a:r>
                <a:rPr lang="pt-BR" sz="1200" baseline="0">
                  <a:solidFill>
                    <a:schemeClr val="bg1"/>
                  </a:solidFill>
                </a:rPr>
                <a:t> Diagrama</a:t>
              </a:r>
              <a:endParaRPr lang="pt-BR" sz="120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C5C6E12-35AA-32E2-4851-E347402752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7532" y="2922724"/>
            <a:ext cx="506973" cy="512229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270711</xdr:colOff>
      <xdr:row>0</xdr:row>
      <xdr:rowOff>0</xdr:rowOff>
    </xdr:from>
    <xdr:to>
      <xdr:col>6</xdr:col>
      <xdr:colOff>1503649</xdr:colOff>
      <xdr:row>1</xdr:row>
      <xdr:rowOff>12883</xdr:rowOff>
    </xdr:to>
    <xdr:grpSp>
      <xdr:nvGrpSpPr>
        <xdr:cNvPr id="54" name="Agrupar 53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A2DCC90-CF26-4411-890B-B6F955D37C4D}"/>
            </a:ext>
          </a:extLst>
        </xdr:cNvPr>
        <xdr:cNvGrpSpPr/>
      </xdr:nvGrpSpPr>
      <xdr:grpSpPr>
        <a:xfrm>
          <a:off x="8024061" y="0"/>
          <a:ext cx="1232938" cy="879658"/>
          <a:chOff x="10965361" y="1520405"/>
          <a:chExt cx="1231803" cy="863203"/>
        </a:xfrm>
      </xdr:grpSpPr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B429E7E8-9E88-C227-97AB-3ECE228DFBB5}"/>
              </a:ext>
            </a:extLst>
          </xdr:cNvPr>
          <xdr:cNvGrpSpPr/>
        </xdr:nvGrpSpPr>
        <xdr:grpSpPr>
          <a:xfrm>
            <a:off x="10965361" y="1520405"/>
            <a:ext cx="1231803" cy="863203"/>
            <a:chOff x="7404233" y="0"/>
            <a:chExt cx="1229457" cy="870672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6FDA9C6D-4E3D-0189-2644-2DBE82BBAA9F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2C8A75C3-703F-0EFE-5F79-B5FA2B78C281}"/>
                </a:ext>
              </a:extLst>
            </xdr:cNvPr>
            <xdr:cNvSpPr txBox="1"/>
          </xdr:nvSpPr>
          <xdr:spPr>
            <a:xfrm>
              <a:off x="7404233" y="528204"/>
              <a:ext cx="1229457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rgbClr val="151316"/>
                  </a:solidFill>
                </a:rPr>
                <a:t>Transformadores</a:t>
              </a:r>
            </a:p>
          </xdr:txBody>
        </xdr:sp>
      </xdr:grp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E79A1F4-2BEB-7288-CFF5-9D0173F8EE4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177" t="13563" r="29443" b="12414"/>
          <a:stretch/>
        </xdr:blipFill>
        <xdr:spPr>
          <a:xfrm rot="16200000">
            <a:off x="11410470" y="1476551"/>
            <a:ext cx="341585" cy="705191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4</xdr:col>
      <xdr:colOff>464720</xdr:colOff>
      <xdr:row>1</xdr:row>
      <xdr:rowOff>10026</xdr:rowOff>
    </xdr:from>
    <xdr:to>
      <xdr:col>6</xdr:col>
      <xdr:colOff>1641263</xdr:colOff>
      <xdr:row>2</xdr:row>
      <xdr:rowOff>12485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6CB7FD51-C82F-417F-8C33-FEB6A99DAD13}"/>
            </a:ext>
          </a:extLst>
        </xdr:cNvPr>
        <xdr:cNvSpPr txBox="1"/>
      </xdr:nvSpPr>
      <xdr:spPr>
        <a:xfrm>
          <a:off x="5417720" y="876801"/>
          <a:ext cx="3976893" cy="4882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Cadastro de Transformadores</a:t>
          </a:r>
        </a:p>
      </xdr:txBody>
    </xdr:sp>
    <xdr:clientData/>
  </xdr:twoCellAnchor>
  <xdr:twoCellAnchor editAs="absolute">
    <xdr:from>
      <xdr:col>7</xdr:col>
      <xdr:colOff>1567113</xdr:colOff>
      <xdr:row>0</xdr:row>
      <xdr:rowOff>0</xdr:rowOff>
    </xdr:from>
    <xdr:to>
      <xdr:col>9</xdr:col>
      <xdr:colOff>31329</xdr:colOff>
      <xdr:row>1</xdr:row>
      <xdr:rowOff>940</xdr:rowOff>
    </xdr:to>
    <xdr:grpSp>
      <xdr:nvGrpSpPr>
        <xdr:cNvPr id="60" name="Agrupar 59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C10D6A4A-E8F8-4B21-873B-CE0D3C026055}"/>
            </a:ext>
          </a:extLst>
        </xdr:cNvPr>
        <xdr:cNvGrpSpPr/>
      </xdr:nvGrpSpPr>
      <xdr:grpSpPr>
        <a:xfrm>
          <a:off x="11120688" y="0"/>
          <a:ext cx="1026441" cy="867715"/>
          <a:chOff x="11001468" y="5333162"/>
          <a:chExt cx="1026441" cy="863203"/>
        </a:xfrm>
      </xdr:grpSpPr>
      <xdr:grpSp>
        <xdr:nvGrpSpPr>
          <xdr:cNvPr id="61" name="Agrupar 60">
            <a:extLst>
              <a:ext uri="{FF2B5EF4-FFF2-40B4-BE49-F238E27FC236}">
                <a16:creationId xmlns:a16="http://schemas.microsoft.com/office/drawing/2014/main" id="{C2D28A74-2FBA-492A-9257-2DA2FA6E0E84}"/>
              </a:ext>
            </a:extLst>
          </xdr:cNvPr>
          <xdr:cNvGrpSpPr/>
        </xdr:nvGrpSpPr>
        <xdr:grpSpPr>
          <a:xfrm>
            <a:off x="11001468" y="5333162"/>
            <a:ext cx="1026441" cy="863203"/>
            <a:chOff x="7510695" y="0"/>
            <a:chExt cx="1030879" cy="870672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CEB898C2-1094-524D-9604-7403F437C3C9}"/>
                </a:ext>
              </a:extLst>
            </xdr:cNvPr>
            <xdr:cNvSpPr/>
          </xdr:nvSpPr>
          <xdr:spPr>
            <a:xfrm>
              <a:off x="7510695" y="0"/>
              <a:ext cx="1030879" cy="870672"/>
            </a:xfrm>
            <a:prstGeom prst="rect">
              <a:avLst/>
            </a:prstGeom>
            <a:solidFill>
              <a:srgbClr val="151316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B4A4BC77-7204-D677-C824-63546BDDC53B}"/>
                </a:ext>
              </a:extLst>
            </xdr:cNvPr>
            <xdr:cNvSpPr txBox="1"/>
          </xdr:nvSpPr>
          <xdr:spPr>
            <a:xfrm>
              <a:off x="7743343" y="528204"/>
              <a:ext cx="551242" cy="282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1200">
                  <a:solidFill>
                    <a:schemeClr val="bg1"/>
                  </a:solidFill>
                </a:rPr>
                <a:t>Carga</a:t>
              </a:r>
            </a:p>
          </xdr:txBody>
        </xdr:sp>
      </xdr:grpSp>
      <xdr:cxnSp macro="">
        <xdr:nvCxnSpPr>
          <xdr:cNvPr id="62" name="Conector de Seta Reta 61">
            <a:extLst>
              <a:ext uri="{FF2B5EF4-FFF2-40B4-BE49-F238E27FC236}">
                <a16:creationId xmlns:a16="http://schemas.microsoft.com/office/drawing/2014/main" id="{B97A7CA7-091B-CA51-D305-EB665F59AB4F}"/>
              </a:ext>
            </a:extLst>
          </xdr:cNvPr>
          <xdr:cNvCxnSpPr/>
        </xdr:nvCxnSpPr>
        <xdr:spPr>
          <a:xfrm>
            <a:off x="11511546" y="5426983"/>
            <a:ext cx="0" cy="458510"/>
          </a:xfrm>
          <a:prstGeom prst="straightConnector1">
            <a:avLst/>
          </a:prstGeom>
          <a:ln w="76200">
            <a:solidFill>
              <a:schemeClr val="bg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2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66872D-2CF4-4D76-9F08-A6AACF2F007E}" name="Barra" displayName="Barra" ref="A5:C17" totalsRowShown="0" headerRowDxfId="51" dataDxfId="50">
  <autoFilter ref="A5:C17" xr:uid="{2066872D-2CF4-4D76-9F08-A6AACF2F007E}"/>
  <sortState xmlns:xlrd2="http://schemas.microsoft.com/office/spreadsheetml/2017/richdata2" ref="A6:C9">
    <sortCondition ref="B5:B9"/>
  </sortState>
  <tableColumns count="3">
    <tableColumn id="1" xr3:uid="{33FAF94A-709D-4632-9D5A-8640511FE23B}" name="Nome" dataDxfId="49"/>
    <tableColumn id="2" xr3:uid="{343E2D8A-16E8-4868-B360-07D31EAB326A}" name="Número" dataDxfId="48"/>
    <tableColumn id="3" xr3:uid="{7C3BA5D9-54FA-4E49-8E2E-E3D85AAB9D95}" name="Tensão (kV)" dataDxfId="4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42C92D-36DA-414C-849B-BDEF7F1F998B}" name="Tabela8" displayName="Tabela8" ref="A5:M10" totalsRowShown="0" headerRowDxfId="46" tableBorderDxfId="45">
  <autoFilter ref="A5:M10" xr:uid="{1A42C92D-36DA-414C-849B-BDEF7F1F998B}"/>
  <tableColumns count="13">
    <tableColumn id="1" xr3:uid="{33A97E4F-D43D-458F-9750-2EB542D11898}" name="Nome" dataDxfId="44"/>
    <tableColumn id="2" xr3:uid="{05BD1916-D65E-4A84-9FFF-2B79076299B7}" name="Barra de" dataDxfId="43"/>
    <tableColumn id="3" xr3:uid="{726B1A75-6DEA-4DF2-9EE3-40D11578E8DA}" name="Barra para" dataDxfId="42"/>
    <tableColumn id="4" xr3:uid="{BDD8F846-4D39-46F9-8254-74EA0C2A6B1D}" name="Tensão (kV)">
      <calculatedColumnFormula>IF(B6="","",_xlfn.XLOOKUP(B6,Barra!B:B,Barra!C:C,"Inserir Barramento",0))</calculatedColumnFormula>
    </tableColumn>
    <tableColumn id="5" xr3:uid="{709C09CF-D5D4-484B-9339-DD322141848A}" name="Potência Nominal (MVA)" dataDxfId="41"/>
    <tableColumn id="6" xr3:uid="{78C81AC7-5ABC-4DD2-B9AC-D0E1A7200B1F}" name="R1 (%)" dataDxfId="40"/>
    <tableColumn id="7" xr3:uid="{7B014AEA-04AE-4D75-8AEC-E4258A980759}" name="R0 (%)" dataDxfId="39"/>
    <tableColumn id="8" xr3:uid="{EF0DB635-2845-48E1-A800-F9A8F1A3B9C5}" name="X1 (%)" dataDxfId="38"/>
    <tableColumn id="9" xr3:uid="{BBAF46CF-1283-4166-9886-02133D9C0B66}" name="X0 (%)" dataDxfId="37"/>
    <tableColumn id="10" xr3:uid="{2B3A3408-210A-4035-BD2B-C9397AF9556F}" name="R1 (pu) Base">
      <calculatedColumnFormula xml:space="preserve"> (Linha!$F6 / 100)
  * ('Dados Complementares'!$C$2 / Linha!$E6)
  * POWER((Linha!$D6
      / _xlfn.XLOOKUP(Linha!$B6, Barra[Número], Barra[Tensão (kV)], "Barra não Encontrada", 0)
    ), 2)</calculatedColumnFormula>
    </tableColumn>
    <tableColumn id="11" xr3:uid="{AFED1B5B-59E9-4873-8A93-6B3C2DA436B8}" name="R0 (pu) Base">
      <calculatedColumnFormula xml:space="preserve"> (Linha!$G6 / 100)
  * ('Dados Complementares'!$C$2 / Linha!$E6)
  * POWER((Linha!$D6
      / _xlfn.XLOOKUP(Linha!$B6, Barra[Número], Barra[Tensão (kV)], "Barra não Encontrada", 0)
    ), 2)</calculatedColumnFormula>
    </tableColumn>
    <tableColumn id="12" xr3:uid="{DD00C3A0-A810-4535-A1EA-AF5745A47EFB}" name="X1 (pu) Base">
      <calculatedColumnFormula xml:space="preserve"> (Linha!$H6 / 100)
  * ('Dados Complementares'!$C$2 / Linha!$E6)
  * POWER((Linha!$D6
      / _xlfn.XLOOKUP(Linha!$B6, Barra[Número], Barra[Tensão (kV)], "Barra não Encontrada", 0)
    ), 2)</calculatedColumnFormula>
    </tableColumn>
    <tableColumn id="13" xr3:uid="{2328EB8A-072C-4AFE-9FCC-4A4899F62ECB}" name="X0 (pu) Base">
      <calculatedColumnFormula xml:space="preserve"> (Linha!$I6 / 100)
  * ('Dados Complementares'!$C$2 / Linha!$E6)
  * POWER((Linha!$D6
      / _xlfn.XLOOKUP(Linha!$B6, Barra[Número], Barra[Tensão (kV)], "Barra não Encontrada", 0)
    ), 2)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1F846C-ED67-400A-9128-8BA6BD98FC4E}" name="Tabela1" displayName="Tabela1" ref="A5:O13" totalsRowShown="0" headerRowDxfId="36" tableBorderDxfId="35">
  <autoFilter ref="A5:O13" xr:uid="{AA1F846C-ED67-400A-9128-8BA6BD98FC4E}"/>
  <tableColumns count="15">
    <tableColumn id="1" xr3:uid="{271BDBC6-678B-456D-B8CB-C3C8B34F9E22}" name="Nome"/>
    <tableColumn id="2" xr3:uid="{5A34E48C-5E62-4E9D-A1B9-5D0B054C2414}" name="Potência Nominal (MVA)"/>
    <tableColumn id="3" xr3:uid="{9D54EBEC-FBD2-4BF0-B4FC-B0536C6E27E7}" name="Barra de"/>
    <tableColumn id="4" xr3:uid="{51AA046C-D923-4B15-A537-589B1E888FD7}" name="Tensão Primário (kV)"/>
    <tableColumn id="5" xr3:uid="{5B16F0DD-44EA-436F-A947-99CC186A8573}" name="Barra para"/>
    <tableColumn id="6" xr3:uid="{7ACE01AF-ABD0-45EB-A267-47FA4A30D765}" name="Tensão Secundário (kV)" dataDxfId="34"/>
    <tableColumn id="7" xr3:uid="{2D384CA8-9C01-46A8-B820-9E4231837338}" name="X1 (%)"/>
    <tableColumn id="8" xr3:uid="{D24DDBAB-7DF0-4153-9BFB-DA7F130E8DEB}" name="X0 (%)"/>
    <tableColumn id="9" xr3:uid="{08CB98BB-C2F2-48AD-8125-429BE3228A09}" name="XN P (%)"/>
    <tableColumn id="10" xr3:uid="{A839321F-92A0-48D5-8D67-58907423C92C}" name="XN S (%)"/>
    <tableColumn id="11" xr3:uid="{BAF8F730-67CF-4A45-B83B-486EA61368AE}" name="Tipo de Conexão"/>
    <tableColumn id="12" xr3:uid="{7B264278-1175-4B69-AD29-AFE930D80A7C}" name="X1 (pu) Base">
      <calculatedColumnFormula xml:space="preserve"> (Transformador!$G6 / 100)
  * ('Dados Complementares'!$C$2 / Transformador!$B6)
  * POWER((Transformador!$D6
      / _xlfn.XLOOKUP(Transformador!$C6, Barra[Número], Barra[Tensão (kV)], "Barra não Encontrada", 0)
    ), 2)</calculatedColumnFormula>
    </tableColumn>
    <tableColumn id="13" xr3:uid="{B9891F0E-B579-4DC2-A63E-330C14CDAE3E}" name="X0 (pu) Base">
      <calculatedColumnFormula xml:space="preserve"> (Transformador!$H6 / 100)
  * ('Dados Complementares'!$C$2 / Transformador!$B6)
  * POWER((Transformador!$D6
      / _xlfn.XLOOKUP(Transformador!$C6, Barra[Número], Barra[Tensão (kV)], "Barra não Encontrada", 0)
    ), 2)</calculatedColumnFormula>
    </tableColumn>
    <tableColumn id="14" xr3:uid="{11D42FB5-421A-4F88-8DF9-69E48FDDBEFC}" name="XN P (pu) Base" dataDxfId="33">
      <calculatedColumnFormula xml:space="preserve"> (Transformador!$I6 / 100)
  * ('Dados Complementares'!$C$2 / Transformador!$B6)
  * POWER((Transformador!$D6
      / _xlfn.XLOOKUP(Transformador!$C6, Barra[Número], Barra[Tensão (kV)], "Barra não Encontrada", 0)
    ), 2)</calculatedColumnFormula>
    </tableColumn>
    <tableColumn id="15" xr3:uid="{5C957116-CCB7-414F-AA70-957B241F368B}" name="XN S (pu) Base" dataDxfId="32">
      <calculatedColumnFormula xml:space="preserve"> (Transformador!$J6 / 100)
  * ('Dados Complementares'!$C$2 / Transformador!$B6)
  * POWER((Transformador!$D6
      / _xlfn.XLOOKUP(Transformador!$C6, Barra[Número], Barra[Tensão (kV)], "Barra não Encontrada", 0)
    ), 2)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923889-CE49-4965-8665-D8CB3269DD66}" name="Gerador" displayName="Gerador" ref="A5:P10" totalsRowShown="0" headerRowDxfId="31">
  <autoFilter ref="A5:P10" xr:uid="{EA923889-CE49-4965-8665-D8CB3269DD66}"/>
  <tableColumns count="16">
    <tableColumn id="1" xr3:uid="{F0A18EA2-C1DE-4158-9D8A-D1E601F8B8DD}" name="Nome" dataDxfId="30"/>
    <tableColumn id="11" xr3:uid="{0BA0393B-642C-4AB0-B9CB-ABE64351DF76}" name="Tipo de Máquina" dataDxfId="29"/>
    <tableColumn id="2" xr3:uid="{4280C238-87A6-491F-8110-354D7D9D0A8C}" name="Barra Conectada" dataDxfId="28"/>
    <tableColumn id="3" xr3:uid="{D048F92B-8775-4630-B7DA-109A1D6D99AD}" name="Potência Nominal (MVA)" dataDxfId="27"/>
    <tableColumn id="4" xr3:uid="{2C7FD4CC-59C7-4EE9-BB93-3B7629C74722}" name="Tensão (kV)" dataDxfId="26"/>
    <tableColumn id="12" xr3:uid="{A05A17A6-9615-4A2A-B987-F07B4FAB17BE}" name="R1 (%)" dataDxfId="25"/>
    <tableColumn id="17" xr3:uid="{3A1973BC-149E-4D1B-93A2-F38C8958624F}" name="R0 (%)" dataDxfId="24"/>
    <tableColumn id="5" xr3:uid="{447D1B79-9D37-4674-8D68-BE532E89FC9E}" name="X1 (%)" dataDxfId="23"/>
    <tableColumn id="6" xr3:uid="{6219F071-57BA-4D49-ADB0-6339047A49B9}" name="X0 (%)" dataDxfId="22"/>
    <tableColumn id="14" xr3:uid="{E3C4064B-3745-4C3C-A04E-4BBC18BE7140}" name="XN (%)" dataDxfId="21"/>
    <tableColumn id="7" xr3:uid="{FDD87192-27CF-4E51-936E-3D39DE4DD738}" name="Tipo de Conexão" dataDxfId="20"/>
    <tableColumn id="13" xr3:uid="{E3A6B3C5-542A-49AA-A34C-E773431F12DA}" name="R1 (pu) Base" dataDxfId="19">
      <calculatedColumnFormula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10" xr3:uid="{AB2C678A-4BA6-4092-B990-96A8780A4D37}" name="R0 (pu) Base" dataDxfId="18">
      <calculatedColumnFormula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8" xr3:uid="{AC4EAE0A-7BD9-4566-AB6C-83652B98DFA0}" name="X1 (pu) Base" dataDxfId="17">
      <calculatedColumnFormula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9" xr3:uid="{C8FC8E35-4DDE-4086-9766-B2068B092BA5}" name="X0 (pu) Base" dataDxfId="16">
      <calculatedColumnFormula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  <tableColumn id="15" xr3:uid="{ABE19268-AA8F-45C9-A5E7-5F93CA43EDB1}" name="XN (pu) Base" dataDxfId="15">
      <calculatedColumnFormula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B9F70-6423-42E7-84A3-315DC7E60A6D}" name="Carga" displayName="Carga" ref="A5:H23" totalsRowShown="0" headerRowDxfId="14" dataDxfId="13">
  <autoFilter ref="A5:H23" xr:uid="{909B9F70-6423-42E7-84A3-315DC7E60A6D}"/>
  <tableColumns count="8">
    <tableColumn id="1" xr3:uid="{CA4D006E-CB2F-44DD-A4B2-081BF5096D8A}" name="Nome" dataDxfId="12"/>
    <tableColumn id="2" xr3:uid="{B9379592-E3BB-4C6B-BDA2-677E60F13483}" name="Barra Conectada" dataDxfId="11"/>
    <tableColumn id="5" xr3:uid="{B8923534-25FA-436F-B955-694F5EAFAC3B}" name="Tensão (kV)" dataDxfId="10"/>
    <tableColumn id="3" xr3:uid="{7FF18B6F-A0B2-4E18-9510-25102219E99C}" name="Potência Ativa (%)" dataDxfId="9"/>
    <tableColumn id="4" xr3:uid="{8D071231-8038-40C4-9BEC-89BD20F2E3F7}" name="Potência Reativa (%)" dataDxfId="8"/>
    <tableColumn id="7" xr3:uid="{959E7119-8339-4FD9-B5CE-9F5D4C61A2B3}" name="Tipo de Conexão" dataDxfId="7"/>
    <tableColumn id="8" xr3:uid="{2F8D0C1B-E7F3-4C15-B3C4-5A389423827B}" name="R1 (pu) Base" dataDxfId="6">
      <calculatedColumnFormula>IFERROR(IMREAL(IMDIV(POWER(Carga[[#This Row],[Tensão (kV)]] / _xlfn.XLOOKUP(Carga[[#This Row],[Barra Conectada]], Barra[Número], Barra[Tensão (kV)], "",0), 2), COMPLEX(Carga[[#This Row],[Potência Ativa (%)]]/100,-Carga[[#This Row],[Potência Reativa (%)]]/100,"j"))), "")</calculatedColumnFormula>
    </tableColumn>
    <tableColumn id="6" xr3:uid="{47A97058-A928-401A-A427-1B6DF42C39FC}" name="X1 (pu) Base" dataDxfId="5">
      <calculatedColumnFormula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0547FB-0486-46C0-8D20-77F111FB651C}" name="Tabela14" displayName="Tabela14" ref="A5:Q8" totalsRowShown="0" headerRowDxfId="4" tableBorderDxfId="3">
  <autoFilter ref="A5:Q8" xr:uid="{4C4CABB3-D8DF-4D1D-A978-DA51FEA7168D}"/>
  <tableColumns count="17">
    <tableColumn id="1" xr3:uid="{FEA22906-0418-46A2-A5E7-E89B56CBF92B}" name="Nome"/>
    <tableColumn id="2" xr3:uid="{A0F21BA0-26EE-422E-BAD9-894AC1D146B0}" name="Potência Nominal (MVA)"/>
    <tableColumn id="3" xr3:uid="{1A6E9024-27B2-4010-A941-0FF45581E363}" name="Barra P"/>
    <tableColumn id="4" xr3:uid="{0B97C788-0C40-4CCE-BFD4-A4EF26F8D8AB}" name="Tensão Primário (kV)"/>
    <tableColumn id="5" xr3:uid="{0DBFC6EE-1B94-48D3-A41B-F771BB82B76D}" name="Barra S"/>
    <tableColumn id="6" xr3:uid="{59EF7556-2C43-406E-8196-4EA978E7E347}" name="Tensão Secundário (kV)"/>
    <tableColumn id="16" xr3:uid="{781D7E86-8440-40FA-AFB3-D788071F2A71}" name="Barra T" dataDxfId="2"/>
    <tableColumn id="17" xr3:uid="{A254C6E5-2D26-4DCA-A6DC-0BC11A175E1B}" name="Tensão Terciário (kV)" dataDxfId="1"/>
    <tableColumn id="7" xr3:uid="{347FF4B7-F1DC-48B6-85D1-934F3231BB29}" name="X1 (%)"/>
    <tableColumn id="8" xr3:uid="{29159FD4-160F-4AE3-99D0-F25F1E90E068}" name="X0 (%)"/>
    <tableColumn id="9" xr3:uid="{7648A362-2256-4B14-A55F-EAE6284D25F8}" name="XN P (%)"/>
    <tableColumn id="10" xr3:uid="{D640311E-95E0-4528-BC18-D5C4D9D13DD1}" name="XN S (%)"/>
    <tableColumn id="11" xr3:uid="{9CDF4948-3DC0-4F90-BAA8-341953D7CE6B}" name="Tipo de Conexão"/>
    <tableColumn id="12" xr3:uid="{E0B46714-8599-4B6F-A68E-41A2CD19A10B}" name="X1 (pu) Base"/>
    <tableColumn id="13" xr3:uid="{7D13A0D8-2DA9-419E-A431-0BA9F6C8AEE0}" name="X0 (pu) Base"/>
    <tableColumn id="14" xr3:uid="{A80FAD82-4E8A-4645-B8C9-17D6DA1E3D91}" name="XN P (pu) Base"/>
    <tableColumn id="15" xr3:uid="{61F76A53-CC1B-4649-8FAE-377BC4442272}" name="XN S (pu) Bas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5D0C-4612-403C-A878-C118EAE98162}">
  <sheetPr codeName="Planilha1">
    <tabColor theme="0" tint="-0.499984740745262"/>
  </sheetPr>
  <dimension ref="A1:K27"/>
  <sheetViews>
    <sheetView zoomScaleNormal="100" workbookViewId="0"/>
  </sheetViews>
  <sheetFormatPr defaultRowHeight="15" x14ac:dyDescent="0.25"/>
  <cols>
    <col min="1" max="1" width="21.42578125" style="4" bestFit="1" customWidth="1"/>
    <col min="2" max="2" width="24.140625" style="4" bestFit="1" customWidth="1"/>
    <col min="3" max="3" width="19.42578125" style="4" bestFit="1" customWidth="1"/>
    <col min="4" max="6" width="19.42578125" style="4" customWidth="1"/>
    <col min="7" max="7" width="14.28515625" style="4" bestFit="1" customWidth="1"/>
    <col min="8" max="8" width="41.5703125" style="4" customWidth="1"/>
    <col min="9" max="9" width="16.5703125" style="4" bestFit="1" customWidth="1"/>
    <col min="10" max="10" width="15.7109375" style="4" bestFit="1" customWidth="1"/>
    <col min="11" max="11" width="112" style="4" bestFit="1" customWidth="1"/>
    <col min="12" max="16384" width="9.140625" style="4"/>
  </cols>
  <sheetData>
    <row r="1" spans="1:11" s="1" customFormat="1" x14ac:dyDescent="0.25">
      <c r="A1" s="1" t="s">
        <v>49</v>
      </c>
      <c r="B1" s="1" t="s">
        <v>50</v>
      </c>
      <c r="C1" s="1" t="s">
        <v>19</v>
      </c>
      <c r="D1" s="1" t="s">
        <v>28</v>
      </c>
      <c r="E1" s="1" t="s">
        <v>29</v>
      </c>
      <c r="F1" s="1" t="s">
        <v>30</v>
      </c>
      <c r="G1" s="1" t="s">
        <v>22</v>
      </c>
      <c r="H1" s="1" t="s">
        <v>38</v>
      </c>
      <c r="I1" s="1" t="s">
        <v>42</v>
      </c>
      <c r="J1" s="1" t="s">
        <v>75</v>
      </c>
      <c r="K1" s="1" t="s">
        <v>295</v>
      </c>
    </row>
    <row r="2" spans="1:11" x14ac:dyDescent="0.25">
      <c r="A2" s="4" t="s">
        <v>11</v>
      </c>
      <c r="B2" s="4" t="s">
        <v>8</v>
      </c>
      <c r="C2" s="4">
        <f>Configuração!P24</f>
        <v>100</v>
      </c>
      <c r="D2" s="4">
        <v>2</v>
      </c>
      <c r="E2" s="4" t="s">
        <v>36</v>
      </c>
      <c r="F2" s="4">
        <v>0</v>
      </c>
      <c r="G2" s="4" t="s">
        <v>23</v>
      </c>
      <c r="H2" s="4" t="s">
        <v>39</v>
      </c>
      <c r="I2" s="4" t="e" vm="1">
        <v>#VALUE!</v>
      </c>
      <c r="J2" s="4" t="s">
        <v>76</v>
      </c>
      <c r="K2" s="4" t="str" cm="1">
        <f t="array" aca="1" ref="K2" ca="1">SUBSTITUTE(
SUBSTITUTE(
MID(
CELL("nome.arquivo"),
1,
FIND("]",CELL("nome.arquivo"))), "[", ""), "]", "")</f>
        <v>C:\Users\danie\Downloads\Trabalho_ASP1_25_1.xlsm</v>
      </c>
    </row>
    <row r="3" spans="1:11" x14ac:dyDescent="0.25">
      <c r="A3" s="4" t="s">
        <v>12</v>
      </c>
      <c r="B3" s="4" t="s">
        <v>9</v>
      </c>
      <c r="H3" s="4" t="s">
        <v>40</v>
      </c>
      <c r="I3" s="4" t="e" vm="2">
        <v>#VALUE!</v>
      </c>
      <c r="J3" s="4" t="s">
        <v>77</v>
      </c>
    </row>
    <row r="4" spans="1:11" x14ac:dyDescent="0.25">
      <c r="A4" s="4" t="s">
        <v>13</v>
      </c>
      <c r="B4" s="4" t="s">
        <v>10</v>
      </c>
      <c r="H4" s="4" t="s">
        <v>41</v>
      </c>
      <c r="I4" s="4" t="e" vm="3">
        <v>#VALUE!</v>
      </c>
    </row>
    <row r="5" spans="1:11" x14ac:dyDescent="0.25">
      <c r="A5" s="4" t="s">
        <v>14</v>
      </c>
      <c r="H5" s="4" t="s">
        <v>36</v>
      </c>
      <c r="I5" s="4" t="e" vm="4">
        <v>#VALUE!</v>
      </c>
    </row>
    <row r="6" spans="1:11" x14ac:dyDescent="0.25">
      <c r="A6" s="4" t="s">
        <v>15</v>
      </c>
    </row>
    <row r="7" spans="1:11" x14ac:dyDescent="0.25">
      <c r="A7" s="4" t="s">
        <v>16</v>
      </c>
    </row>
    <row r="27" spans="8:8" ht="141" customHeight="1" x14ac:dyDescent="0.25">
      <c r="H27" s="11"/>
    </row>
  </sheetData>
  <sheetProtection selectLockedCells="1" selectUnlockedCells="1"/>
  <dataValidations count="2">
    <dataValidation type="list" allowBlank="1" showInputMessage="1" showErrorMessage="1" sqref="E2:E1048576" xr:uid="{3BBB52DA-4F66-4B7B-B560-FD73C65A3BFA}">
      <formula1>"Monofásico,Bifásico, Bifásico-Terra, Trifásico"</formula1>
    </dataValidation>
    <dataValidation type="list" allowBlank="1" showInputMessage="1" showErrorMessage="1" sqref="G24" xr:uid="{8FDE8D77-4AA9-49AB-975D-4CE6743905F1}">
      <formula1>$H$2:$H$5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839A72-771E-4636-9018-7A86115797E1}">
          <x14:formula1>
            <xm:f>Barra!$B$6:$B$1048576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4EF06-2110-455A-9ED8-3A23C6991604}">
  <sheetPr codeName="Planilha16"/>
  <dimension ref="A1:AL59"/>
  <sheetViews>
    <sheetView topLeftCell="A41" zoomScale="55" zoomScaleNormal="55" workbookViewId="0">
      <selection activeCell="P7" sqref="P7:S7"/>
    </sheetView>
  </sheetViews>
  <sheetFormatPr defaultRowHeight="15" x14ac:dyDescent="0.25"/>
  <sheetData>
    <row r="1" spans="1:38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4" spans="1:38" x14ac:dyDescent="0.25">
      <c r="A4" s="8" t="s">
        <v>44</v>
      </c>
      <c r="B4" t="s">
        <v>43</v>
      </c>
      <c r="C4" t="s">
        <v>43</v>
      </c>
      <c r="D4" t="s">
        <v>43</v>
      </c>
      <c r="E4" t="s">
        <v>43</v>
      </c>
      <c r="F4" t="s">
        <v>43</v>
      </c>
      <c r="G4" t="s">
        <v>43</v>
      </c>
      <c r="H4" t="s">
        <v>43</v>
      </c>
      <c r="I4" t="s">
        <v>43</v>
      </c>
      <c r="J4" t="s">
        <v>43</v>
      </c>
      <c r="K4" t="s">
        <v>43</v>
      </c>
      <c r="L4" t="s">
        <v>43</v>
      </c>
      <c r="M4" t="s">
        <v>43</v>
      </c>
      <c r="N4" t="s">
        <v>43</v>
      </c>
      <c r="O4" s="10" t="s">
        <v>43</v>
      </c>
      <c r="P4" t="s">
        <v>43</v>
      </c>
      <c r="Q4" t="s">
        <v>43</v>
      </c>
      <c r="R4" t="s">
        <v>43</v>
      </c>
      <c r="S4" s="10" t="s">
        <v>43</v>
      </c>
      <c r="T4" t="s">
        <v>43</v>
      </c>
      <c r="U4" t="s">
        <v>43</v>
      </c>
      <c r="V4" t="s">
        <v>43</v>
      </c>
      <c r="W4" t="s">
        <v>43</v>
      </c>
      <c r="X4" t="s">
        <v>43</v>
      </c>
      <c r="Y4" t="s">
        <v>43</v>
      </c>
      <c r="Z4" t="s">
        <v>43</v>
      </c>
      <c r="AA4" t="s">
        <v>43</v>
      </c>
      <c r="AB4" t="s">
        <v>43</v>
      </c>
      <c r="AC4" t="s">
        <v>43</v>
      </c>
      <c r="AD4" t="s">
        <v>43</v>
      </c>
      <c r="AE4" t="s">
        <v>43</v>
      </c>
      <c r="AF4" t="s">
        <v>43</v>
      </c>
      <c r="AG4" t="s">
        <v>43</v>
      </c>
      <c r="AH4" t="s">
        <v>43</v>
      </c>
      <c r="AI4" t="s">
        <v>43</v>
      </c>
      <c r="AJ4" t="s">
        <v>43</v>
      </c>
      <c r="AK4" t="s">
        <v>43</v>
      </c>
      <c r="AL4" t="s">
        <v>43</v>
      </c>
    </row>
    <row r="6" spans="1:38" ht="68.25" customHeigh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7" t="s">
        <v>37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38.25" customHeight="1" thickBo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11" spans="1:38" ht="68.25" customHeigh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 t="s">
        <v>37</v>
      </c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</row>
    <row r="12" spans="1:38" ht="38.25" customHeight="1" thickBo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</row>
    <row r="16" spans="1:38" ht="68.25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 t="s">
        <v>37</v>
      </c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</row>
    <row r="17" spans="1:38" ht="38.25" customHeight="1" thickBot="1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</row>
    <row r="21" spans="1:38" ht="68.2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 t="s">
        <v>37</v>
      </c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</row>
    <row r="22" spans="1:38" ht="38.25" customHeight="1" thickBot="1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</row>
    <row r="26" spans="1:38" ht="68.2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 t="s">
        <v>37</v>
      </c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</row>
    <row r="27" spans="1:38" ht="38.25" customHeight="1" thickBot="1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</row>
    <row r="31" spans="1:38" ht="68.2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 t="s">
        <v>37</v>
      </c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</row>
    <row r="32" spans="1:38" ht="38.25" customHeight="1" thickBot="1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</row>
    <row r="36" spans="1:38" ht="68.2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 t="s">
        <v>37</v>
      </c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</row>
    <row r="37" spans="1:38" ht="38.25" customHeight="1" thickBot="1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</row>
    <row r="41" spans="1:38" ht="68.25" customHeigh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 t="s">
        <v>37</v>
      </c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</row>
    <row r="42" spans="1:38" ht="38.25" customHeight="1" thickBot="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</row>
    <row r="46" spans="1:38" ht="68.2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 t="s">
        <v>37</v>
      </c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</row>
    <row r="47" spans="1:38" ht="38.25" customHeight="1" thickBot="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</row>
    <row r="51" spans="1:38" ht="68.2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 t="s">
        <v>37</v>
      </c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</row>
    <row r="52" spans="1:38" ht="38.25" customHeight="1" thickBot="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</row>
    <row r="54" spans="1:38" x14ac:dyDescent="0.25">
      <c r="A54" t="s">
        <v>43</v>
      </c>
      <c r="B54" t="s">
        <v>43</v>
      </c>
      <c r="C54" t="s">
        <v>43</v>
      </c>
      <c r="D54" t="s">
        <v>43</v>
      </c>
      <c r="E54" t="s">
        <v>43</v>
      </c>
      <c r="F54" t="s">
        <v>43</v>
      </c>
      <c r="G54" t="s">
        <v>43</v>
      </c>
      <c r="H54" t="s">
        <v>43</v>
      </c>
      <c r="I54" t="s">
        <v>43</v>
      </c>
      <c r="J54" t="s">
        <v>43</v>
      </c>
      <c r="K54" t="s">
        <v>43</v>
      </c>
      <c r="L54" t="s">
        <v>43</v>
      </c>
      <c r="M54" t="s">
        <v>43</v>
      </c>
      <c r="N54" t="s">
        <v>43</v>
      </c>
      <c r="O54" s="10" t="s">
        <v>43</v>
      </c>
      <c r="P54" t="s">
        <v>43</v>
      </c>
      <c r="Q54" t="s">
        <v>43</v>
      </c>
      <c r="R54" t="s">
        <v>43</v>
      </c>
      <c r="S54" t="s">
        <v>43</v>
      </c>
      <c r="T54" t="s">
        <v>43</v>
      </c>
      <c r="U54" t="s">
        <v>43</v>
      </c>
      <c r="V54" t="s">
        <v>43</v>
      </c>
      <c r="W54" t="s">
        <v>43</v>
      </c>
      <c r="X54" t="s">
        <v>43</v>
      </c>
      <c r="Y54" t="s">
        <v>43</v>
      </c>
      <c r="Z54" t="s">
        <v>43</v>
      </c>
      <c r="AA54" t="s">
        <v>43</v>
      </c>
      <c r="AB54" t="s">
        <v>43</v>
      </c>
      <c r="AC54" t="s">
        <v>43</v>
      </c>
      <c r="AD54" t="s">
        <v>43</v>
      </c>
      <c r="AE54" t="s">
        <v>43</v>
      </c>
    </row>
    <row r="56" spans="1:38" ht="68.25" customHeight="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 t="s">
        <v>37</v>
      </c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</row>
    <row r="57" spans="1:38" ht="38.25" customHeight="1" thickBot="1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</row>
    <row r="59" spans="1:38" ht="15.75" thickBot="1" x14ac:dyDescent="0.3">
      <c r="A59" s="52" t="s">
        <v>97</v>
      </c>
      <c r="B59" s="52">
        <v>5</v>
      </c>
      <c r="C59" s="52">
        <v>345</v>
      </c>
      <c r="D59" s="52">
        <v>125</v>
      </c>
      <c r="E59" s="52">
        <v>50</v>
      </c>
      <c r="F59" s="52" t="s">
        <v>8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6DC8F-3D24-4384-A026-604BC5471246}">
          <x14:formula1>
            <xm:f>'Dados Complementares'!$B$2:$B$4</xm:f>
          </x14:formula1>
          <xm:sqref>F59</xm:sqref>
        </x14:dataValidation>
        <x14:dataValidation type="list" allowBlank="1" showInputMessage="1" showErrorMessage="1" xr:uid="{BE934D6B-9A01-48B5-9BF6-6246D0F29139}">
          <x14:formula1>
            <xm:f>Barra!$B$6:$B$1048576</xm:f>
          </x14:formula1>
          <xm:sqref>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6C29F-C5FB-46DF-98A0-31377D0D7418}">
  <sheetPr codeName="Planilha17">
    <tabColor rgb="FFFF0000"/>
  </sheetPr>
  <dimension ref="A1:AL17"/>
  <sheetViews>
    <sheetView topLeftCell="M14" zoomScale="160" zoomScaleNormal="160" workbookViewId="0">
      <selection activeCell="U25" sqref="U25"/>
    </sheetView>
  </sheetViews>
  <sheetFormatPr defaultRowHeight="15" x14ac:dyDescent="0.25"/>
  <cols>
    <col min="11" max="11" width="9.140625" customWidth="1"/>
    <col min="14" max="14" width="9.140625" customWidth="1"/>
  </cols>
  <sheetData>
    <row r="1" spans="1:38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9" spans="1:38" ht="21" x14ac:dyDescent="0.35">
      <c r="K9" s="9"/>
    </row>
    <row r="11" spans="1:38" ht="21" x14ac:dyDescent="0.35">
      <c r="K11" s="9"/>
    </row>
    <row r="13" spans="1:38" ht="21" x14ac:dyDescent="0.35">
      <c r="C13" s="8" t="s">
        <v>37</v>
      </c>
      <c r="K13" s="9"/>
    </row>
    <row r="15" spans="1:38" ht="21" x14ac:dyDescent="0.35">
      <c r="K15" s="9"/>
    </row>
    <row r="17" spans="11:11" ht="21" x14ac:dyDescent="0.35">
      <c r="K17" s="9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299-7033-4042-A85F-F6ED5559EE31}">
  <sheetPr codeName="Planilha10">
    <tabColor theme="7" tint="0.59999389629810485"/>
  </sheetPr>
  <dimension ref="A1:AL29"/>
  <sheetViews>
    <sheetView showGridLines="0" showRowColHeaders="0" zoomScale="85" zoomScaleNormal="85" workbookViewId="0">
      <selection activeCell="P7" sqref="P7:S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3" max="3" width="14" customWidth="1"/>
    <col min="11" max="11" width="9.140625" customWidth="1"/>
  </cols>
  <sheetData>
    <row r="1" spans="1:38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4" spans="1:38" ht="15.75" thickBot="1" x14ac:dyDescent="0.3"/>
    <row r="5" spans="1:38" ht="18.75" x14ac:dyDescent="0.3">
      <c r="L5" s="64" t="s">
        <v>48</v>
      </c>
      <c r="M5" s="65"/>
      <c r="N5" s="65"/>
      <c r="O5" s="65"/>
      <c r="P5" s="65"/>
      <c r="Q5" s="65"/>
      <c r="R5" s="65"/>
      <c r="S5" s="65"/>
      <c r="T5" s="66"/>
    </row>
    <row r="6" spans="1:38" ht="19.5" thickBot="1" x14ac:dyDescent="0.35">
      <c r="L6" s="13"/>
      <c r="M6" s="14"/>
      <c r="N6" s="14"/>
      <c r="O6" s="14"/>
      <c r="P6" s="14"/>
      <c r="Q6" s="14"/>
      <c r="R6" s="14"/>
      <c r="S6" s="14"/>
      <c r="T6" s="15"/>
    </row>
    <row r="7" spans="1:38" ht="19.5" thickBot="1" x14ac:dyDescent="0.35">
      <c r="L7" s="13"/>
      <c r="M7" s="14"/>
      <c r="N7" s="14"/>
      <c r="O7" s="16" t="s">
        <v>45</v>
      </c>
      <c r="P7" s="61" t="s">
        <v>331</v>
      </c>
      <c r="Q7" s="62"/>
      <c r="R7" s="62"/>
      <c r="S7" s="63"/>
      <c r="T7" s="15"/>
    </row>
    <row r="8" spans="1:38" ht="19.5" thickBot="1" x14ac:dyDescent="0.35">
      <c r="L8" s="13"/>
      <c r="M8" s="14"/>
      <c r="N8" s="14"/>
      <c r="O8" s="16"/>
      <c r="P8" s="14"/>
      <c r="Q8" s="14"/>
      <c r="R8" s="14"/>
      <c r="S8" s="14"/>
      <c r="T8" s="15"/>
    </row>
    <row r="9" spans="1:38" ht="19.5" thickBot="1" x14ac:dyDescent="0.35">
      <c r="L9" s="13"/>
      <c r="M9" s="14"/>
      <c r="N9" s="14"/>
      <c r="O9" s="16" t="s">
        <v>46</v>
      </c>
      <c r="P9" s="61" t="s">
        <v>41</v>
      </c>
      <c r="Q9" s="62"/>
      <c r="R9" s="62"/>
      <c r="S9" s="63"/>
      <c r="T9" s="15"/>
    </row>
    <row r="10" spans="1:38" ht="18.75" x14ac:dyDescent="0.3">
      <c r="L10" s="13"/>
      <c r="M10" s="14"/>
      <c r="N10" s="14"/>
      <c r="O10" s="16"/>
      <c r="P10" s="14"/>
      <c r="Q10" s="14"/>
      <c r="R10" s="14"/>
      <c r="S10" s="14"/>
      <c r="T10" s="15"/>
    </row>
    <row r="11" spans="1:38" ht="18.75" x14ac:dyDescent="0.3">
      <c r="L11" s="13"/>
      <c r="M11" s="14"/>
      <c r="N11" s="14"/>
      <c r="O11" s="16"/>
      <c r="P11" s="67" t="e" vm="5">
        <f>_xlfn.XLOOKUP(Configuração!P9,'Dados Complementares'!H2:H6,'Dados Complementares'!I2:I6,"-",0)</f>
        <v>#VALUE!</v>
      </c>
      <c r="Q11" s="67"/>
      <c r="R11" s="67"/>
      <c r="S11" s="67"/>
      <c r="T11" s="15"/>
    </row>
    <row r="12" spans="1:38" ht="18.75" x14ac:dyDescent="0.3">
      <c r="L12" s="13"/>
      <c r="M12" s="14"/>
      <c r="N12" s="14"/>
      <c r="O12" s="14"/>
      <c r="P12" s="67"/>
      <c r="Q12" s="67"/>
      <c r="R12" s="67"/>
      <c r="S12" s="67"/>
      <c r="T12" s="15"/>
    </row>
    <row r="13" spans="1:38" ht="18.75" x14ac:dyDescent="0.3">
      <c r="L13" s="13"/>
      <c r="M13" s="14"/>
      <c r="N13" s="14"/>
      <c r="O13" s="14"/>
      <c r="P13" s="67"/>
      <c r="Q13" s="67"/>
      <c r="R13" s="67"/>
      <c r="S13" s="67"/>
      <c r="T13" s="15"/>
    </row>
    <row r="14" spans="1:38" ht="18.75" x14ac:dyDescent="0.3">
      <c r="L14" s="13"/>
      <c r="M14" s="14"/>
      <c r="N14" s="14"/>
      <c r="O14" s="14"/>
      <c r="P14" s="67"/>
      <c r="Q14" s="67"/>
      <c r="R14" s="67"/>
      <c r="S14" s="67"/>
      <c r="T14" s="15"/>
    </row>
    <row r="15" spans="1:38" ht="18.75" x14ac:dyDescent="0.3">
      <c r="L15" s="13"/>
      <c r="M15" s="14"/>
      <c r="N15" s="14"/>
      <c r="O15" s="14"/>
      <c r="P15" s="67"/>
      <c r="Q15" s="67"/>
      <c r="R15" s="67"/>
      <c r="S15" s="67"/>
      <c r="T15" s="15"/>
    </row>
    <row r="16" spans="1:38" ht="18.75" x14ac:dyDescent="0.3">
      <c r="L16" s="13"/>
      <c r="M16" s="14"/>
      <c r="N16" s="14"/>
      <c r="O16" s="14"/>
      <c r="P16" s="67"/>
      <c r="Q16" s="67"/>
      <c r="R16" s="67"/>
      <c r="S16" s="67"/>
      <c r="T16" s="15"/>
    </row>
    <row r="17" spans="12:20" ht="18.75" x14ac:dyDescent="0.3">
      <c r="L17" s="13"/>
      <c r="M17" s="14"/>
      <c r="N17" s="14"/>
      <c r="O17" s="14"/>
      <c r="P17" s="67"/>
      <c r="Q17" s="67"/>
      <c r="R17" s="67"/>
      <c r="S17" s="67"/>
      <c r="T17" s="15"/>
    </row>
    <row r="18" spans="12:20" ht="18.75" x14ac:dyDescent="0.3">
      <c r="L18" s="13"/>
      <c r="M18" s="14"/>
      <c r="N18" s="14"/>
      <c r="O18" s="14"/>
      <c r="P18" s="67"/>
      <c r="Q18" s="67"/>
      <c r="R18" s="67"/>
      <c r="S18" s="67"/>
      <c r="T18" s="15"/>
    </row>
    <row r="19" spans="12:20" ht="19.5" thickBot="1" x14ac:dyDescent="0.35">
      <c r="L19" s="13"/>
      <c r="M19" s="14"/>
      <c r="N19" s="14"/>
      <c r="O19" s="14"/>
      <c r="P19" s="17"/>
      <c r="Q19" s="17"/>
      <c r="R19" s="17"/>
      <c r="S19" s="17"/>
      <c r="T19" s="15"/>
    </row>
    <row r="20" spans="12:20" ht="19.5" thickBot="1" x14ac:dyDescent="0.35">
      <c r="L20" s="13"/>
      <c r="M20" s="14"/>
      <c r="N20" s="14"/>
      <c r="O20" s="16" t="s">
        <v>47</v>
      </c>
      <c r="P20" s="61">
        <v>3</v>
      </c>
      <c r="Q20" s="62"/>
      <c r="R20" s="62"/>
      <c r="S20" s="63"/>
      <c r="T20" s="15"/>
    </row>
    <row r="21" spans="12:20" ht="19.5" thickBot="1" x14ac:dyDescent="0.35">
      <c r="L21" s="13"/>
      <c r="M21" s="14"/>
      <c r="N21" s="14"/>
      <c r="O21" s="18"/>
      <c r="P21" s="14"/>
      <c r="Q21" s="14"/>
      <c r="R21" s="14"/>
      <c r="S21" s="14"/>
      <c r="T21" s="15"/>
    </row>
    <row r="22" spans="12:20" ht="19.5" thickBot="1" x14ac:dyDescent="0.35">
      <c r="L22" s="13"/>
      <c r="M22" s="14"/>
      <c r="N22" s="14"/>
      <c r="O22" s="16" t="s">
        <v>294</v>
      </c>
      <c r="P22" s="61">
        <v>0</v>
      </c>
      <c r="Q22" s="62"/>
      <c r="R22" s="62"/>
      <c r="S22" s="63"/>
      <c r="T22" s="15"/>
    </row>
    <row r="23" spans="12:20" ht="19.5" thickBot="1" x14ac:dyDescent="0.35">
      <c r="L23" s="13"/>
      <c r="M23" s="14"/>
      <c r="N23" s="14"/>
      <c r="O23" s="16"/>
      <c r="P23" s="14"/>
      <c r="Q23" s="14"/>
      <c r="R23" s="14"/>
      <c r="S23" s="14"/>
      <c r="T23" s="15"/>
    </row>
    <row r="24" spans="12:20" ht="19.5" thickBot="1" x14ac:dyDescent="0.35">
      <c r="L24" s="13"/>
      <c r="M24" s="14"/>
      <c r="N24" s="14"/>
      <c r="O24" s="16" t="s">
        <v>19</v>
      </c>
      <c r="P24" s="61">
        <v>100</v>
      </c>
      <c r="Q24" s="62"/>
      <c r="R24" s="62"/>
      <c r="S24" s="63"/>
      <c r="T24" s="15"/>
    </row>
    <row r="25" spans="12:20" ht="18.75" x14ac:dyDescent="0.3">
      <c r="L25" s="13"/>
      <c r="M25" s="14"/>
      <c r="N25" s="14"/>
      <c r="O25" s="16"/>
      <c r="P25" s="14"/>
      <c r="Q25" s="14"/>
      <c r="R25" s="14"/>
      <c r="S25" s="14"/>
      <c r="T25" s="15"/>
    </row>
    <row r="26" spans="12:20" x14ac:dyDescent="0.25">
      <c r="L26" s="19"/>
      <c r="T26" s="20"/>
    </row>
    <row r="27" spans="12:20" x14ac:dyDescent="0.25">
      <c r="L27" s="19"/>
      <c r="T27" s="20"/>
    </row>
    <row r="28" spans="12:20" x14ac:dyDescent="0.25">
      <c r="L28" s="19"/>
      <c r="T28" s="20"/>
    </row>
    <row r="29" spans="12:20" ht="15.75" thickBot="1" x14ac:dyDescent="0.3">
      <c r="L29" s="21"/>
      <c r="M29" s="22"/>
      <c r="N29" s="22"/>
      <c r="O29" s="22"/>
      <c r="P29" s="22"/>
      <c r="Q29" s="22"/>
      <c r="R29" s="22"/>
      <c r="S29" s="22"/>
      <c r="T29" s="23"/>
    </row>
  </sheetData>
  <sheetProtection selectLockedCells="1"/>
  <protectedRanges>
    <protectedRange algorithmName="SHA-512" hashValue="vz2jvxh6b0JlQdc7XjAH63UV41fMID9x1peANyRJWbaOnbYBbWju19nB+735agR8bYwIynA7hU+4IOHA9VLf2Q==" saltValue="r58FfEmZWfXa3rsrUoQrYw==" spinCount="100000" sqref="P7 P9 P20 P22 P24" name="Intervalo1"/>
  </protectedRanges>
  <mergeCells count="7">
    <mergeCell ref="P22:S22"/>
    <mergeCell ref="P24:S24"/>
    <mergeCell ref="L5:T5"/>
    <mergeCell ref="P11:S18"/>
    <mergeCell ref="P7:S7"/>
    <mergeCell ref="P9:S9"/>
    <mergeCell ref="P20:S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78EE03-6B7B-4B48-B90B-41A463DD93B6}">
          <x14:formula1>
            <xm:f>'Dados Complementares'!$H$2:$H$6</xm:f>
          </x14:formula1>
          <xm:sqref>P9:P10</xm:sqref>
        </x14:dataValidation>
        <x14:dataValidation type="list" allowBlank="1" showInputMessage="1" showErrorMessage="1" xr:uid="{3A2680BF-1E71-45FF-8904-E9BD9977F0B8}">
          <x14:formula1>
            <xm:f>Barra!$B$6:$B$1048576</xm:f>
          </x14:formula1>
          <xm:sqref>P20:S20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0B300-8DA6-429C-B4D5-4F4DAED312CD}">
  <sheetPr codeName="Planilha2">
    <tabColor theme="7" tint="0.59999389629810485"/>
  </sheetPr>
  <dimension ref="A1:AL22"/>
  <sheetViews>
    <sheetView showGridLines="0" showRowColHeaders="0" zoomScale="96" zoomScaleNormal="96" workbookViewId="0">
      <selection activeCell="C18" sqref="C18"/>
    </sheetView>
  </sheetViews>
  <sheetFormatPr defaultRowHeight="15" x14ac:dyDescent="0.25"/>
  <cols>
    <col min="1" max="1" width="11" style="25" bestFit="1" customWidth="1"/>
    <col min="2" max="2" width="12.85546875" style="25" bestFit="1" customWidth="1"/>
    <col min="3" max="3" width="16" style="25" bestFit="1" customWidth="1"/>
    <col min="4" max="16384" width="9.140625" style="4"/>
  </cols>
  <sheetData>
    <row r="1" spans="1:38" customFormat="1" ht="68.25" customHeight="1" x14ac:dyDescent="0.25">
      <c r="A1" s="7" t="s">
        <v>37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 x14ac:dyDescent="0.25">
      <c r="A3" s="4"/>
      <c r="B3" s="4"/>
      <c r="C3" s="4"/>
    </row>
    <row r="4" spans="1:38" x14ac:dyDescent="0.25">
      <c r="A4" s="4"/>
      <c r="B4" s="4"/>
      <c r="C4" s="4"/>
    </row>
    <row r="5" spans="1:38" s="2" customFormat="1" x14ac:dyDescent="0.25">
      <c r="A5" s="34" t="s">
        <v>1</v>
      </c>
      <c r="B5" s="34" t="s">
        <v>0</v>
      </c>
      <c r="C5" s="34" t="s">
        <v>5</v>
      </c>
    </row>
    <row r="6" spans="1:38" x14ac:dyDescent="0.25">
      <c r="A6" s="25" t="s">
        <v>24</v>
      </c>
      <c r="B6" s="25">
        <v>1</v>
      </c>
      <c r="C6" s="25">
        <v>13.8</v>
      </c>
    </row>
    <row r="7" spans="1:38" x14ac:dyDescent="0.25">
      <c r="A7" s="25" t="s">
        <v>27</v>
      </c>
      <c r="B7" s="25">
        <v>2</v>
      </c>
      <c r="C7" s="25">
        <v>6.6</v>
      </c>
    </row>
    <row r="8" spans="1:38" x14ac:dyDescent="0.25">
      <c r="A8" s="25" t="s">
        <v>25</v>
      </c>
      <c r="B8" s="25">
        <v>3</v>
      </c>
      <c r="C8" s="25">
        <v>230</v>
      </c>
    </row>
    <row r="9" spans="1:38" x14ac:dyDescent="0.25">
      <c r="A9" s="25" t="s">
        <v>26</v>
      </c>
      <c r="B9" s="25">
        <v>4</v>
      </c>
      <c r="C9" s="25">
        <v>230</v>
      </c>
    </row>
    <row r="10" spans="1:38" x14ac:dyDescent="0.25">
      <c r="A10" s="25" t="s">
        <v>66</v>
      </c>
      <c r="B10" s="25">
        <v>5</v>
      </c>
      <c r="C10" s="25">
        <v>13.8</v>
      </c>
    </row>
    <row r="11" spans="1:38" x14ac:dyDescent="0.25">
      <c r="A11" s="25" t="s">
        <v>67</v>
      </c>
      <c r="B11" s="25">
        <v>6</v>
      </c>
      <c r="C11" s="25">
        <v>6.6</v>
      </c>
    </row>
    <row r="12" spans="1:38" x14ac:dyDescent="0.25">
      <c r="A12" s="25" t="s">
        <v>68</v>
      </c>
      <c r="B12" s="25">
        <v>7</v>
      </c>
      <c r="C12" s="25">
        <v>500</v>
      </c>
    </row>
    <row r="13" spans="1:38" x14ac:dyDescent="0.25">
      <c r="A13" s="25" t="s">
        <v>98</v>
      </c>
      <c r="B13" s="25">
        <v>8</v>
      </c>
      <c r="C13" s="25">
        <v>500</v>
      </c>
    </row>
    <row r="14" spans="1:38" x14ac:dyDescent="0.25">
      <c r="A14" s="25" t="s">
        <v>99</v>
      </c>
      <c r="B14" s="25">
        <v>9</v>
      </c>
      <c r="C14" s="25">
        <v>0.22</v>
      </c>
    </row>
    <row r="15" spans="1:38" x14ac:dyDescent="0.25">
      <c r="A15" s="25" t="s">
        <v>297</v>
      </c>
      <c r="B15" s="25">
        <v>10</v>
      </c>
      <c r="C15" s="25">
        <v>0.22</v>
      </c>
    </row>
    <row r="16" spans="1:38" x14ac:dyDescent="0.25">
      <c r="A16" s="25" t="s">
        <v>306</v>
      </c>
      <c r="B16" s="25">
        <v>11</v>
      </c>
      <c r="C16" s="25">
        <v>0.22</v>
      </c>
    </row>
    <row r="17" spans="1:9" x14ac:dyDescent="0.25">
      <c r="A17" s="25" t="s">
        <v>307</v>
      </c>
      <c r="B17" s="25">
        <v>12</v>
      </c>
      <c r="C17" s="25">
        <v>0.22</v>
      </c>
    </row>
    <row r="22" spans="1:9" x14ac:dyDescent="0.25">
      <c r="I22" s="12"/>
    </row>
  </sheetData>
  <sheetProtection formatCells="0" formatColumns="0" formatRows="0" insertColumns="0" insertRows="0" insertHyperlinks="0" deleteColumns="0" deleteRows="0" sort="0" autoFilter="0" pivotTables="0"/>
  <conditionalFormatting sqref="B1:B104857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568C-92CE-45E1-B1F0-F8B573EA2AF5}">
  <sheetPr codeName="Planilha3">
    <tabColor theme="7" tint="0.59999389629810485"/>
  </sheetPr>
  <dimension ref="A1:AM10"/>
  <sheetViews>
    <sheetView showGridLines="0" showRowColHeaders="0" zoomScale="96" zoomScaleNormal="96" workbookViewId="0">
      <selection activeCell="J18" sqref="J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" style="25" bestFit="1" customWidth="1"/>
    <col min="2" max="2" width="13.28515625" style="25" bestFit="1" customWidth="1"/>
    <col min="3" max="3" width="15" style="25" bestFit="1" customWidth="1"/>
    <col min="4" max="4" width="16" style="4" bestFit="1" customWidth="1"/>
    <col min="5" max="5" width="27.5703125" style="25" bestFit="1" customWidth="1"/>
    <col min="6" max="7" width="17.5703125" style="25" customWidth="1"/>
    <col min="8" max="9" width="11.42578125" style="25" bestFit="1" customWidth="1"/>
    <col min="10" max="11" width="15.7109375" style="4" customWidth="1"/>
    <col min="12" max="13" width="16.5703125" style="4" bestFit="1" customWidth="1"/>
    <col min="14" max="16384" width="9.140625" style="4"/>
  </cols>
  <sheetData>
    <row r="1" spans="1:39" customFormat="1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7" t="s">
        <v>37</v>
      </c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</row>
    <row r="2" spans="1:39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</row>
    <row r="3" spans="1:39" x14ac:dyDescent="0.25">
      <c r="A3" s="4"/>
      <c r="B3" s="4"/>
      <c r="C3" s="4"/>
      <c r="E3" s="4"/>
      <c r="F3" s="4"/>
      <c r="G3" s="4"/>
      <c r="H3" s="4"/>
      <c r="I3" s="4"/>
    </row>
    <row r="4" spans="1:39" x14ac:dyDescent="0.25">
      <c r="A4" s="4"/>
      <c r="B4" s="4"/>
      <c r="C4" s="4"/>
      <c r="E4" s="4"/>
      <c r="F4" s="4"/>
      <c r="G4" s="4"/>
      <c r="H4" s="4"/>
      <c r="I4" s="4"/>
    </row>
    <row r="5" spans="1:39" s="2" customFormat="1" ht="15.75" thickBot="1" x14ac:dyDescent="0.3">
      <c r="A5" s="30" t="s">
        <v>1</v>
      </c>
      <c r="B5" s="29" t="s">
        <v>2</v>
      </c>
      <c r="C5" s="29" t="s">
        <v>3</v>
      </c>
      <c r="D5" s="29" t="s">
        <v>5</v>
      </c>
      <c r="E5" s="29" t="s">
        <v>4</v>
      </c>
      <c r="F5" s="29" t="s">
        <v>63</v>
      </c>
      <c r="G5" s="29" t="s">
        <v>62</v>
      </c>
      <c r="H5" s="29" t="s">
        <v>20</v>
      </c>
      <c r="I5" s="29" t="s">
        <v>21</v>
      </c>
      <c r="J5" s="29" t="s">
        <v>64</v>
      </c>
      <c r="K5" s="29" t="s">
        <v>65</v>
      </c>
      <c r="L5" s="29" t="s">
        <v>34</v>
      </c>
      <c r="M5" s="29" t="s">
        <v>35</v>
      </c>
    </row>
    <row r="6" spans="1:39" x14ac:dyDescent="0.25">
      <c r="A6" s="31" t="s">
        <v>299</v>
      </c>
      <c r="B6" s="32">
        <v>3</v>
      </c>
      <c r="C6" s="32">
        <v>4</v>
      </c>
      <c r="D6" s="26">
        <f>IF(B6="","",_xlfn.XLOOKUP(B6,Barra!B:B,Barra!C:C,"Inserir Barramento",0))</f>
        <v>230</v>
      </c>
      <c r="E6" s="32">
        <v>100</v>
      </c>
      <c r="F6" s="32">
        <v>1</v>
      </c>
      <c r="G6" s="32">
        <v>2.5</v>
      </c>
      <c r="H6" s="33">
        <v>8.5</v>
      </c>
      <c r="I6" s="33">
        <v>21.25</v>
      </c>
      <c r="J6" s="27">
        <f xml:space="preserve"> (Linha!$F6 / 100)
  * ('Dados Complementares'!$C$2 / Linha!$E6)
  * POWER((Linha!$D6
      / _xlfn.XLOOKUP(Linha!$B6, Barra[Número], Barra[Tensão (kV)], "Barra não Encontrada", 0)
    ), 2)</f>
        <v>0.01</v>
      </c>
      <c r="K6" s="27">
        <f xml:space="preserve"> (Linha!$G6 / 100)
  * ('Dados Complementares'!$C$2 / Linha!$E6)
  * POWER((Linha!$D6
      / _xlfn.XLOOKUP(Linha!$B6, Barra[Número], Barra[Tensão (kV)], "Barra não Encontrada", 0)
    ), 2)</f>
        <v>2.5000000000000001E-2</v>
      </c>
      <c r="L6" s="27">
        <f xml:space="preserve"> (Linha!$H6 / 100)
  * ('Dados Complementares'!$C$2 / Linha!$E6)
  * POWER((Linha!$D6
      / _xlfn.XLOOKUP(Linha!$B6, Barra[Número], Barra[Tensão (kV)], "Barra não Encontrada", 0)
    ), 2)</f>
        <v>8.5000000000000006E-2</v>
      </c>
      <c r="M6" s="27">
        <f xml:space="preserve"> (Linha!$I6 / 100)
  * ('Dados Complementares'!$C$2 / Linha!$E6)
  * POWER((Linha!$D6
      / _xlfn.XLOOKUP(Linha!$B6, Barra[Número], Barra[Tensão (kV)], "Barra não Encontrada", 0)
    ), 2)</f>
        <v>0.21249999999999999</v>
      </c>
    </row>
    <row r="7" spans="1:39" x14ac:dyDescent="0.25">
      <c r="A7" s="25" t="s">
        <v>103</v>
      </c>
      <c r="B7" s="25">
        <v>7</v>
      </c>
      <c r="C7" s="25">
        <v>8</v>
      </c>
      <c r="D7" s="4">
        <f>IF(B7="","",_xlfn.XLOOKUP(B7,Barra!B:B,Barra!C:C,"Inserir Barramento",0))</f>
        <v>500</v>
      </c>
      <c r="E7" s="25">
        <v>100</v>
      </c>
      <c r="F7" s="25">
        <v>1</v>
      </c>
      <c r="G7" s="25">
        <v>2.5</v>
      </c>
      <c r="H7" s="25">
        <v>8.5</v>
      </c>
      <c r="I7" s="25">
        <v>21.25</v>
      </c>
      <c r="J7" s="4">
        <f xml:space="preserve"> (Linha!$F7 / 100)
  * ('Dados Complementares'!$C$2 / Linha!$E7)
  * POWER((Linha!$D7
      / _xlfn.XLOOKUP(Linha!$B7, Barra[Número], Barra[Tensão (kV)], "Barra não Encontrada", 0)
    ), 2)</f>
        <v>0.01</v>
      </c>
      <c r="K7" s="4">
        <f xml:space="preserve"> (Linha!$G7 / 100)
  * ('Dados Complementares'!$C$2 / Linha!$E7)
  * POWER((Linha!$D7
      / _xlfn.XLOOKUP(Linha!$B7, Barra[Número], Barra[Tensão (kV)], "Barra não Encontrada", 0)
    ), 2)</f>
        <v>2.5000000000000001E-2</v>
      </c>
      <c r="L7" s="4">
        <f xml:space="preserve"> (Linha!$H7 / 100)
  * ('Dados Complementares'!$C$2 / Linha!$E7)
  * POWER((Linha!$D7
      / _xlfn.XLOOKUP(Linha!$B7, Barra[Número], Barra[Tensão (kV)], "Barra não Encontrada", 0)
    ), 2)</f>
        <v>8.5000000000000006E-2</v>
      </c>
      <c r="M7" s="4">
        <f xml:space="preserve"> (Linha!$I7 / 100)
  * ('Dados Complementares'!$C$2 / Linha!$E7)
  * POWER((Linha!$D7
      / _xlfn.XLOOKUP(Linha!$B7, Barra[Número], Barra[Tensão (kV)], "Barra não Encontrada", 0)
    ), 2)</f>
        <v>0.21249999999999999</v>
      </c>
    </row>
    <row r="8" spans="1:39" x14ac:dyDescent="0.25">
      <c r="A8" s="25" t="s">
        <v>310</v>
      </c>
      <c r="B8" s="25">
        <v>9</v>
      </c>
      <c r="C8" s="25">
        <v>10</v>
      </c>
      <c r="D8" s="4">
        <f>IF(B8="","",_xlfn.XLOOKUP(B8,Barra!B:B,Barra!C:C,"Inserir Barramento",0))</f>
        <v>0.22</v>
      </c>
      <c r="E8" s="25">
        <v>100</v>
      </c>
      <c r="F8" s="25">
        <v>1</v>
      </c>
      <c r="G8" s="25">
        <v>2.5</v>
      </c>
      <c r="H8" s="25">
        <v>8.5</v>
      </c>
      <c r="I8" s="25">
        <v>21.25</v>
      </c>
      <c r="J8" s="4">
        <f xml:space="preserve"> (Linha!$F8 / 100)
  * ('Dados Complementares'!$C$2 / Linha!$E8)
  * POWER((Linha!$D8
      / _xlfn.XLOOKUP(Linha!$B8, Barra[Número], Barra[Tensão (kV)], "Barra não Encontrada", 0)
    ), 2)</f>
        <v>0.01</v>
      </c>
      <c r="K8" s="4">
        <f xml:space="preserve"> (Linha!$G8 / 100)
  * ('Dados Complementares'!$C$2 / Linha!$E8)
  * POWER((Linha!$D8
      / _xlfn.XLOOKUP(Linha!$B8, Barra[Número], Barra[Tensão (kV)], "Barra não Encontrada", 0)
    ), 2)</f>
        <v>2.5000000000000001E-2</v>
      </c>
      <c r="L8" s="4">
        <f xml:space="preserve"> (Linha!$H8 / 100)
  * ('Dados Complementares'!$C$2 / Linha!$E8)
  * POWER((Linha!$D8
      / _xlfn.XLOOKUP(Linha!$B8, Barra[Número], Barra[Tensão (kV)], "Barra não Encontrada", 0)
    ), 2)</f>
        <v>8.5000000000000006E-2</v>
      </c>
      <c r="M8" s="4">
        <f xml:space="preserve"> (Linha!$I8 / 100)
  * ('Dados Complementares'!$C$2 / Linha!$E8)
  * POWER((Linha!$D8
      / _xlfn.XLOOKUP(Linha!$B8, Barra[Número], Barra[Tensão (kV)], "Barra não Encontrada", 0)
    ), 2)</f>
        <v>0.21249999999999999</v>
      </c>
    </row>
    <row r="9" spans="1:39" x14ac:dyDescent="0.25">
      <c r="A9" s="25" t="s">
        <v>311</v>
      </c>
      <c r="B9" s="25">
        <v>10</v>
      </c>
      <c r="C9" s="25">
        <v>11</v>
      </c>
      <c r="D9" s="4">
        <f>IF(B9="","",_xlfn.XLOOKUP(B9,Barra!B:B,Barra!C:C,"Inserir Barramento",0))</f>
        <v>0.22</v>
      </c>
      <c r="E9" s="25">
        <v>100</v>
      </c>
      <c r="F9" s="25">
        <v>1</v>
      </c>
      <c r="G9" s="25">
        <v>2.5</v>
      </c>
      <c r="H9" s="25">
        <v>8.5</v>
      </c>
      <c r="I9" s="25">
        <v>21.25</v>
      </c>
      <c r="J9" s="4">
        <f xml:space="preserve"> (Linha!$F9 / 100)
  * ('Dados Complementares'!$C$2 / Linha!$E9)
  * POWER((Linha!$D9
      / _xlfn.XLOOKUP(Linha!$B9, Barra[Número], Barra[Tensão (kV)], "Barra não Encontrada", 0)
    ), 2)</f>
        <v>0.01</v>
      </c>
      <c r="K9" s="4">
        <f xml:space="preserve"> (Linha!$G9 / 100)
  * ('Dados Complementares'!$C$2 / Linha!$E9)
  * POWER((Linha!$D9
      / _xlfn.XLOOKUP(Linha!$B9, Barra[Número], Barra[Tensão (kV)], "Barra não Encontrada", 0)
    ), 2)</f>
        <v>2.5000000000000001E-2</v>
      </c>
      <c r="L9" s="4">
        <f xml:space="preserve"> (Linha!$H9 / 100)
  * ('Dados Complementares'!$C$2 / Linha!$E9)
  * POWER((Linha!$D9
      / _xlfn.XLOOKUP(Linha!$B9, Barra[Número], Barra[Tensão (kV)], "Barra não Encontrada", 0)
    ), 2)</f>
        <v>8.5000000000000006E-2</v>
      </c>
      <c r="M9" s="4">
        <f xml:space="preserve"> (Linha!$I9 / 100)
  * ('Dados Complementares'!$C$2 / Linha!$E9)
  * POWER((Linha!$D9
      / _xlfn.XLOOKUP(Linha!$B9, Barra[Número], Barra[Tensão (kV)], "Barra não Encontrada", 0)
    ), 2)</f>
        <v>0.21249999999999999</v>
      </c>
    </row>
    <row r="10" spans="1:39" x14ac:dyDescent="0.25">
      <c r="A10" s="25" t="s">
        <v>312</v>
      </c>
      <c r="B10" s="25">
        <v>11</v>
      </c>
      <c r="C10" s="25">
        <v>12</v>
      </c>
      <c r="D10" s="4">
        <f>IF(B10="","",_xlfn.XLOOKUP(B10,Barra!B:B,Barra!C:C,"Inserir Barramento",0))</f>
        <v>0.22</v>
      </c>
      <c r="E10" s="25">
        <v>100</v>
      </c>
      <c r="F10" s="25">
        <v>1</v>
      </c>
      <c r="G10" s="25">
        <v>2.5</v>
      </c>
      <c r="H10" s="25">
        <v>8.5</v>
      </c>
      <c r="I10" s="25">
        <v>21.25</v>
      </c>
      <c r="J10" s="4">
        <f xml:space="preserve"> (Linha!$F10 / 100)
  * ('Dados Complementares'!$C$2 / Linha!$E10)
  * POWER((Linha!$D10
      / _xlfn.XLOOKUP(Linha!$B10, Barra[Número], Barra[Tensão (kV)], "Barra não Encontrada", 0)
    ), 2)</f>
        <v>0.01</v>
      </c>
      <c r="K10" s="4">
        <f xml:space="preserve"> (Linha!$G10 / 100)
  * ('Dados Complementares'!$C$2 / Linha!$E10)
  * POWER((Linha!$D10
      / _xlfn.XLOOKUP(Linha!$B10, Barra[Número], Barra[Tensão (kV)], "Barra não Encontrada", 0)
    ), 2)</f>
        <v>2.5000000000000001E-2</v>
      </c>
      <c r="L10" s="4">
        <f xml:space="preserve"> (Linha!$H10 / 100)
  * ('Dados Complementares'!$C$2 / Linha!$E10)
  * POWER((Linha!$D10
      / _xlfn.XLOOKUP(Linha!$B10, Barra[Número], Barra[Tensão (kV)], "Barra não Encontrada", 0)
    ), 2)</f>
        <v>8.5000000000000006E-2</v>
      </c>
      <c r="M10" s="4">
        <f xml:space="preserve"> (Linha!$I10 / 100)
  * ('Dados Complementares'!$C$2 / Linha!$E10)
  * POWER((Linha!$D10
      / _xlfn.XLOOKUP(Linha!$B10, Barra[Número], Barra[Tensão (kV)], "Barra não Encontrada", 0)
    ), 2)</f>
        <v>0.21249999999999999</v>
      </c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281262-714D-42CD-9B54-618A1EB30DC0}">
          <x14:formula1>
            <xm:f>Barra!$B$6:$B$1048576</xm:f>
          </x14:formula1>
          <xm:sqref>B6:C1048576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6B8C0-382B-4905-BBF2-8EBDE965B0D4}">
  <sheetPr codeName="Planilha6">
    <tabColor theme="7" tint="0.59999389629810485"/>
  </sheetPr>
  <dimension ref="A1:AM13"/>
  <sheetViews>
    <sheetView showGridLines="0" showRowColHeaders="0" zoomScale="96" zoomScaleNormal="96" workbookViewId="0">
      <selection activeCell="D17" sqref="D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" style="25" bestFit="1" customWidth="1"/>
    <col min="2" max="2" width="25.7109375" style="25" bestFit="1" customWidth="1"/>
    <col min="3" max="3" width="13.28515625" style="25" bestFit="1" customWidth="1"/>
    <col min="4" max="4" width="24.28515625" style="25" bestFit="1" customWidth="1"/>
    <col min="5" max="5" width="15" style="25" bestFit="1" customWidth="1"/>
    <col min="6" max="6" width="27" style="25" customWidth="1"/>
    <col min="7" max="7" width="11.42578125" style="25" bestFit="1" customWidth="1"/>
    <col min="8" max="8" width="11.42578125" style="25" customWidth="1"/>
    <col min="9" max="9" width="13" style="25" customWidth="1"/>
    <col min="10" max="10" width="13.140625" style="25" customWidth="1"/>
    <col min="11" max="11" width="20.28515625" style="25" customWidth="1"/>
    <col min="12" max="13" width="16.5703125" style="4" bestFit="1" customWidth="1"/>
    <col min="14" max="14" width="15.7109375" style="4" customWidth="1"/>
    <col min="15" max="15" width="16.5703125" style="4" customWidth="1"/>
    <col min="16" max="16384" width="9.140625" style="4"/>
  </cols>
  <sheetData>
    <row r="1" spans="1:39" customFormat="1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7" t="s">
        <v>37</v>
      </c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</row>
    <row r="2" spans="1:39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</row>
    <row r="3" spans="1:39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4" spans="1:39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spans="1:39" s="2" customFormat="1" ht="15.75" thickBot="1" x14ac:dyDescent="0.3">
      <c r="A5" s="30" t="s">
        <v>1</v>
      </c>
      <c r="B5" s="29" t="s">
        <v>4</v>
      </c>
      <c r="C5" s="29" t="s">
        <v>2</v>
      </c>
      <c r="D5" s="29" t="s">
        <v>17</v>
      </c>
      <c r="E5" s="29" t="s">
        <v>3</v>
      </c>
      <c r="F5" s="29" t="s">
        <v>18</v>
      </c>
      <c r="G5" s="29" t="s">
        <v>20</v>
      </c>
      <c r="H5" s="29" t="s">
        <v>21</v>
      </c>
      <c r="I5" s="29" t="s">
        <v>58</v>
      </c>
      <c r="J5" s="29" t="s">
        <v>59</v>
      </c>
      <c r="K5" s="29" t="s">
        <v>6</v>
      </c>
      <c r="L5" s="29" t="s">
        <v>34</v>
      </c>
      <c r="M5" s="29" t="s">
        <v>35</v>
      </c>
      <c r="N5" s="29" t="s">
        <v>60</v>
      </c>
      <c r="O5" s="29" t="s">
        <v>72</v>
      </c>
    </row>
    <row r="6" spans="1:39" x14ac:dyDescent="0.25">
      <c r="A6" s="36" t="s">
        <v>32</v>
      </c>
      <c r="B6" s="26">
        <v>100</v>
      </c>
      <c r="C6" s="26">
        <v>1</v>
      </c>
      <c r="D6" s="35">
        <v>13.8</v>
      </c>
      <c r="E6" s="26">
        <v>3</v>
      </c>
      <c r="F6" s="35">
        <v>230</v>
      </c>
      <c r="G6" s="26">
        <v>5.76</v>
      </c>
      <c r="H6" s="26">
        <v>5.76</v>
      </c>
      <c r="I6" s="26">
        <v>0</v>
      </c>
      <c r="J6" s="26">
        <v>0</v>
      </c>
      <c r="K6" s="26" t="s">
        <v>12</v>
      </c>
      <c r="L6" s="27">
        <f xml:space="preserve"> (Transformador!$G6 / 100)
  * ('Dados Complementares'!$C$2 / Transformador!$B6)
  * POWER((Transformador!$D6
      / _xlfn.XLOOKUP(Transformador!$C6, Barra[Número], Barra[Tensão (kV)], "Barra não Encontrada", 0)
    ), 2)</f>
        <v>5.7599999999999998E-2</v>
      </c>
      <c r="M6" s="27">
        <f xml:space="preserve"> (Transformador!$H6 / 100)
  * ('Dados Complementares'!$C$2 / Transformador!$B6)
  * POWER((Transformador!$D6
      / _xlfn.XLOOKUP(Transformador!$C6, Barra[Número], Barra[Tensão (kV)], "Barra não Encontrada", 0)
    ), 2)</f>
        <v>5.7599999999999998E-2</v>
      </c>
      <c r="N6" s="27">
        <f xml:space="preserve"> (Transformador!$I6 / 100)
  * ('Dados Complementares'!$C$2 / Transformador!$B6)
  * POWER((Transformador!$D6
      / _xlfn.XLOOKUP(Transformador!$C6, Barra[Número], Barra[Tensão (kV)], "Barra não Encontrada", 0)
    ), 2)</f>
        <v>0</v>
      </c>
      <c r="O6" s="27">
        <f xml:space="preserve"> (Transformador!$J6 / 100)
  * ('Dados Complementares'!$C$2 / Transformador!$B6)
  * POWER((Transformador!$D6
      / _xlfn.XLOOKUP(Transformador!$C6, Barra[Número], Barra[Tensão (kV)], "Barra não Encontrada", 0)
    ), 2)</f>
        <v>0</v>
      </c>
    </row>
    <row r="7" spans="1:39" x14ac:dyDescent="0.25">
      <c r="A7" s="37" t="s">
        <v>33</v>
      </c>
      <c r="B7" s="37">
        <v>100</v>
      </c>
      <c r="C7" s="37">
        <v>2</v>
      </c>
      <c r="D7" s="37">
        <v>6.6</v>
      </c>
      <c r="E7" s="37">
        <v>4</v>
      </c>
      <c r="F7" s="53">
        <v>230</v>
      </c>
      <c r="G7" s="37">
        <v>6.25</v>
      </c>
      <c r="H7" s="37">
        <v>6.25</v>
      </c>
      <c r="I7" s="37">
        <v>10</v>
      </c>
      <c r="J7" s="37">
        <v>0</v>
      </c>
      <c r="K7" s="37" t="s">
        <v>11</v>
      </c>
      <c r="L7" s="37">
        <f xml:space="preserve"> (Transformador!$G7 / 100)
  * ('Dados Complementares'!$C$2 / Transformador!$B7)
  * POWER((Transformador!$D7
      / _xlfn.XLOOKUP(Transformador!$C7, Barra[Número], Barra[Tensão (kV)], "Barra não Encontrada", 0)
    ), 2)</f>
        <v>6.25E-2</v>
      </c>
      <c r="M7" s="37">
        <f xml:space="preserve"> (Transformador!$H7 / 100)
  * ('Dados Complementares'!$C$2 / Transformador!$B7)
  * POWER((Transformador!$D7
      / _xlfn.XLOOKUP(Transformador!$C7, Barra[Número], Barra[Tensão (kV)], "Barra não Encontrada", 0)
    ), 2)</f>
        <v>6.25E-2</v>
      </c>
      <c r="N7" s="54">
        <f xml:space="preserve"> (Transformador!$I7 / 100)
  * ('Dados Complementares'!$C$2 / Transformador!$B7)
  * POWER((Transformador!$D7
      / _xlfn.XLOOKUP(Transformador!$C7, Barra[Número], Barra[Tensão (kV)], "Barra não Encontrada", 0)
    ), 2)</f>
        <v>0.1</v>
      </c>
      <c r="O7" s="54">
        <f xml:space="preserve"> (Transformador!$J7 / 100)
  * ('Dados Complementares'!$C$2 / Transformador!$B7)
  * POWER((Transformador!$D7
      / _xlfn.XLOOKUP(Transformador!$C7, Barra[Número], Barra[Tensão (kV)], "Barra não Encontrada", 0)
    ), 2)</f>
        <v>0</v>
      </c>
    </row>
    <row r="8" spans="1:39" x14ac:dyDescent="0.25">
      <c r="A8" s="25" t="s">
        <v>69</v>
      </c>
      <c r="B8" s="25">
        <v>100</v>
      </c>
      <c r="C8" s="25">
        <v>3</v>
      </c>
      <c r="D8" s="25">
        <v>230</v>
      </c>
      <c r="E8" s="25">
        <v>7</v>
      </c>
      <c r="F8" s="39">
        <v>500</v>
      </c>
      <c r="G8" s="25">
        <v>6.25</v>
      </c>
      <c r="H8" s="25">
        <v>6.25</v>
      </c>
      <c r="I8" s="25">
        <v>10</v>
      </c>
      <c r="J8" s="25">
        <v>0</v>
      </c>
      <c r="K8" s="25" t="s">
        <v>11</v>
      </c>
      <c r="L8" s="4">
        <f xml:space="preserve"> (Transformador!$G8 / 100)
  * ('Dados Complementares'!$C$2 / Transformador!$B8)
  * POWER((Transformador!$D8
      / _xlfn.XLOOKUP(Transformador!$C8, Barra[Número], Barra[Tensão (kV)], "Barra não Encontrada", 0)
    ), 2)</f>
        <v>6.25E-2</v>
      </c>
      <c r="M8" s="4">
        <f xml:space="preserve"> (Transformador!$H8 / 100)
  * ('Dados Complementares'!$C$2 / Transformador!$B8)
  * POWER((Transformador!$D8
      / _xlfn.XLOOKUP(Transformador!$C8, Barra[Número], Barra[Tensão (kV)], "Barra não Encontrada", 0)
    ), 2)</f>
        <v>6.25E-2</v>
      </c>
      <c r="N8" s="24">
        <f xml:space="preserve"> (Transformador!$I8 / 100)
  * ('Dados Complementares'!$C$2 / Transformador!$B8)
  * POWER((Transformador!$D8
      / _xlfn.XLOOKUP(Transformador!$C8, Barra[Número], Barra[Tensão (kV)], "Barra não Encontrada", 0)
    ), 2)</f>
        <v>0.1</v>
      </c>
      <c r="O8" s="24">
        <f xml:space="preserve"> (Transformador!$J8 / 100)
  * ('Dados Complementares'!$C$2 / Transformador!$B8)
  * POWER((Transformador!$D8
      / _xlfn.XLOOKUP(Transformador!$C8, Barra[Número], Barra[Tensão (kV)], "Barra não Encontrada", 0)
    ), 2)</f>
        <v>0</v>
      </c>
    </row>
    <row r="9" spans="1:39" x14ac:dyDescent="0.25">
      <c r="A9" s="25" t="s">
        <v>298</v>
      </c>
      <c r="B9" s="25">
        <v>100</v>
      </c>
      <c r="C9" s="25">
        <v>4</v>
      </c>
      <c r="D9" s="25">
        <v>230</v>
      </c>
      <c r="E9" s="25">
        <v>8</v>
      </c>
      <c r="F9" s="39">
        <v>500</v>
      </c>
      <c r="G9" s="25">
        <v>6.25</v>
      </c>
      <c r="H9" s="25">
        <v>6.25</v>
      </c>
      <c r="I9" s="25">
        <v>10</v>
      </c>
      <c r="J9" s="25">
        <v>0</v>
      </c>
      <c r="K9" s="25" t="s">
        <v>11</v>
      </c>
      <c r="L9" s="4">
        <f xml:space="preserve"> (Transformador!$G9 / 100)
  * ('Dados Complementares'!$C$2 / Transformador!$B9)
  * POWER((Transformador!$D9
      / _xlfn.XLOOKUP(Transformador!$C9, Barra[Número], Barra[Tensão (kV)], "Barra não Encontrada", 0)
    ), 2)</f>
        <v>6.25E-2</v>
      </c>
      <c r="M9" s="4">
        <f xml:space="preserve"> (Transformador!$H9 / 100)
  * ('Dados Complementares'!$C$2 / Transformador!$B9)
  * POWER((Transformador!$D9
      / _xlfn.XLOOKUP(Transformador!$C9, Barra[Número], Barra[Tensão (kV)], "Barra não Encontrada", 0)
    ), 2)</f>
        <v>6.25E-2</v>
      </c>
      <c r="N9" s="24">
        <f xml:space="preserve"> (Transformador!$I9 / 100)
  * ('Dados Complementares'!$C$2 / Transformador!$B9)
  * POWER((Transformador!$D9
      / _xlfn.XLOOKUP(Transformador!$C9, Barra[Número], Barra[Tensão (kV)], "Barra não Encontrada", 0)
    ), 2)</f>
        <v>0.1</v>
      </c>
      <c r="O9" s="24">
        <f xml:space="preserve"> (Transformador!$J9 / 100)
  * ('Dados Complementares'!$C$2 / Transformador!$B9)
  * POWER((Transformador!$D9
      / _xlfn.XLOOKUP(Transformador!$C9, Barra[Número], Barra[Tensão (kV)], "Barra não Encontrada", 0)
    ), 2)</f>
        <v>0</v>
      </c>
    </row>
    <row r="10" spans="1:39" x14ac:dyDescent="0.25">
      <c r="A10" s="25" t="s">
        <v>304</v>
      </c>
      <c r="B10" s="25">
        <v>100</v>
      </c>
      <c r="C10" s="25">
        <v>5</v>
      </c>
      <c r="D10" s="25">
        <v>13.8</v>
      </c>
      <c r="E10" s="25">
        <v>7</v>
      </c>
      <c r="F10" s="39">
        <v>500</v>
      </c>
      <c r="G10" s="25">
        <v>6.25</v>
      </c>
      <c r="H10" s="25">
        <v>6.25</v>
      </c>
      <c r="I10" s="25">
        <v>10</v>
      </c>
      <c r="J10" s="25">
        <v>0</v>
      </c>
      <c r="K10" s="25" t="s">
        <v>11</v>
      </c>
      <c r="L10" s="4">
        <f xml:space="preserve"> (Transformador!$G10 / 100)
  * ('Dados Complementares'!$C$2 / Transformador!$B10)
  * POWER((Transformador!$D10
      / _xlfn.XLOOKUP(Transformador!$C10, Barra[Número], Barra[Tensão (kV)], "Barra não Encontrada", 0)
    ), 2)</f>
        <v>6.25E-2</v>
      </c>
      <c r="M10" s="4">
        <f xml:space="preserve"> (Transformador!$H10 / 100)
  * ('Dados Complementares'!$C$2 / Transformador!$B10)
  * POWER((Transformador!$D10
      / _xlfn.XLOOKUP(Transformador!$C10, Barra[Número], Barra[Tensão (kV)], "Barra não Encontrada", 0)
    ), 2)</f>
        <v>6.25E-2</v>
      </c>
      <c r="N10" s="24">
        <f xml:space="preserve"> (Transformador!$I10 / 100)
  * ('Dados Complementares'!$C$2 / Transformador!$B10)
  * POWER((Transformador!$D10
      / _xlfn.XLOOKUP(Transformador!$C10, Barra[Número], Barra[Tensão (kV)], "Barra não Encontrada", 0)
    ), 2)</f>
        <v>0.1</v>
      </c>
      <c r="O10" s="24">
        <f xml:space="preserve"> (Transformador!$J10 / 100)
  * ('Dados Complementares'!$C$2 / Transformador!$B10)
  * POWER((Transformador!$D10
      / _xlfn.XLOOKUP(Transformador!$C10, Barra[Número], Barra[Tensão (kV)], "Barra não Encontrada", 0)
    ), 2)</f>
        <v>0</v>
      </c>
    </row>
    <row r="11" spans="1:39" x14ac:dyDescent="0.25">
      <c r="A11" s="25" t="s">
        <v>305</v>
      </c>
      <c r="B11" s="25">
        <v>100</v>
      </c>
      <c r="C11" s="25">
        <v>6</v>
      </c>
      <c r="D11" s="25">
        <v>6.6</v>
      </c>
      <c r="E11" s="25">
        <v>8</v>
      </c>
      <c r="F11" s="39">
        <v>500</v>
      </c>
      <c r="G11" s="25">
        <v>6.25</v>
      </c>
      <c r="H11" s="25">
        <v>6.25</v>
      </c>
      <c r="I11" s="25">
        <v>10</v>
      </c>
      <c r="J11" s="25">
        <v>0</v>
      </c>
      <c r="K11" s="25" t="s">
        <v>11</v>
      </c>
      <c r="L11" s="4">
        <f xml:space="preserve"> (Transformador!$G11 / 100)
  * ('Dados Complementares'!$C$2 / Transformador!$B11)
  * POWER((Transformador!$D11
      / _xlfn.XLOOKUP(Transformador!$C11, Barra[Número], Barra[Tensão (kV)], "Barra não Encontrada", 0)
    ), 2)</f>
        <v>6.25E-2</v>
      </c>
      <c r="M11" s="4">
        <f xml:space="preserve"> (Transformador!$H11 / 100)
  * ('Dados Complementares'!$C$2 / Transformador!$B11)
  * POWER((Transformador!$D11
      / _xlfn.XLOOKUP(Transformador!$C11, Barra[Número], Barra[Tensão (kV)], "Barra não Encontrada", 0)
    ), 2)</f>
        <v>6.25E-2</v>
      </c>
      <c r="N11" s="24">
        <f xml:space="preserve"> (Transformador!$I11 / 100)
  * ('Dados Complementares'!$C$2 / Transformador!$B11)
  * POWER((Transformador!$D11
      / _xlfn.XLOOKUP(Transformador!$C11, Barra[Número], Barra[Tensão (kV)], "Barra não Encontrada", 0)
    ), 2)</f>
        <v>0.1</v>
      </c>
      <c r="O11" s="24">
        <f xml:space="preserve"> (Transformador!$J11 / 100)
  * ('Dados Complementares'!$C$2 / Transformador!$B11)
  * POWER((Transformador!$D11
      / _xlfn.XLOOKUP(Transformador!$C11, Barra[Número], Barra[Tensão (kV)], "Barra não Encontrada", 0)
    ), 2)</f>
        <v>0</v>
      </c>
    </row>
    <row r="12" spans="1:39" x14ac:dyDescent="0.25">
      <c r="A12" s="25" t="s">
        <v>308</v>
      </c>
      <c r="B12" s="25">
        <v>100</v>
      </c>
      <c r="C12" s="25">
        <v>1</v>
      </c>
      <c r="D12" s="25">
        <v>13.8</v>
      </c>
      <c r="E12" s="25">
        <v>9</v>
      </c>
      <c r="F12" s="39">
        <v>0.22</v>
      </c>
      <c r="G12" s="25">
        <v>6.25</v>
      </c>
      <c r="H12" s="25">
        <v>6.25</v>
      </c>
      <c r="I12" s="25">
        <v>10</v>
      </c>
      <c r="J12" s="25">
        <v>0</v>
      </c>
      <c r="K12" s="25" t="s">
        <v>11</v>
      </c>
      <c r="L12" s="4">
        <f xml:space="preserve"> (Transformador!$G12 / 100)
  * ('Dados Complementares'!$C$2 / Transformador!$B12)
  * POWER((Transformador!$D12
      / _xlfn.XLOOKUP(Transformador!$C12, Barra[Número], Barra[Tensão (kV)], "Barra não Encontrada", 0)
    ), 2)</f>
        <v>6.25E-2</v>
      </c>
      <c r="M12" s="4">
        <f xml:space="preserve"> (Transformador!$H12 / 100)
  * ('Dados Complementares'!$C$2 / Transformador!$B12)
  * POWER((Transformador!$D12
      / _xlfn.XLOOKUP(Transformador!$C12, Barra[Número], Barra[Tensão (kV)], "Barra não Encontrada", 0)
    ), 2)</f>
        <v>6.25E-2</v>
      </c>
      <c r="N12" s="24">
        <f xml:space="preserve"> (Transformador!$I12 / 100)
  * ('Dados Complementares'!$C$2 / Transformador!$B12)
  * POWER((Transformador!$D12
      / _xlfn.XLOOKUP(Transformador!$C12, Barra[Número], Barra[Tensão (kV)], "Barra não Encontrada", 0)
    ), 2)</f>
        <v>0.1</v>
      </c>
      <c r="O12" s="24">
        <f xml:space="preserve"> (Transformador!$J12 / 100)
  * ('Dados Complementares'!$C$2 / Transformador!$B12)
  * POWER((Transformador!$D12
      / _xlfn.XLOOKUP(Transformador!$C12, Barra[Número], Barra[Tensão (kV)], "Barra não Encontrada", 0)
    ), 2)</f>
        <v>0</v>
      </c>
    </row>
    <row r="13" spans="1:39" x14ac:dyDescent="0.25">
      <c r="A13" s="25" t="s">
        <v>309</v>
      </c>
      <c r="B13" s="25">
        <v>100</v>
      </c>
      <c r="C13" s="25">
        <v>2</v>
      </c>
      <c r="D13" s="25">
        <v>6.6</v>
      </c>
      <c r="E13" s="25">
        <v>12</v>
      </c>
      <c r="F13" s="39">
        <v>0.22</v>
      </c>
      <c r="G13" s="25">
        <v>6.25</v>
      </c>
      <c r="H13" s="25">
        <v>6.25</v>
      </c>
      <c r="I13" s="25">
        <v>10</v>
      </c>
      <c r="J13" s="25">
        <v>0</v>
      </c>
      <c r="K13" s="25" t="s">
        <v>11</v>
      </c>
      <c r="L13" s="4">
        <f xml:space="preserve"> (Transformador!$G13 / 100)
  * ('Dados Complementares'!$C$2 / Transformador!$B13)
  * POWER((Transformador!$D13
      / _xlfn.XLOOKUP(Transformador!$C13, Barra[Número], Barra[Tensão (kV)], "Barra não Encontrada", 0)
    ), 2)</f>
        <v>6.25E-2</v>
      </c>
      <c r="M13" s="4">
        <f xml:space="preserve"> (Transformador!$H13 / 100)
  * ('Dados Complementares'!$C$2 / Transformador!$B13)
  * POWER((Transformador!$D13
      / _xlfn.XLOOKUP(Transformador!$C13, Barra[Número], Barra[Tensão (kV)], "Barra não Encontrada", 0)
    ), 2)</f>
        <v>6.25E-2</v>
      </c>
      <c r="N13" s="24">
        <f xml:space="preserve"> (Transformador!$I13 / 100)
  * ('Dados Complementares'!$C$2 / Transformador!$B13)
  * POWER((Transformador!$D13
      / _xlfn.XLOOKUP(Transformador!$C13, Barra[Número], Barra[Tensão (kV)], "Barra não Encontrada", 0)
    ), 2)</f>
        <v>0.1</v>
      </c>
      <c r="O13" s="24">
        <f xml:space="preserve"> (Transformador!$J13 / 100)
  * ('Dados Complementares'!$C$2 / Transformador!$B13)
  * POWER((Transformador!$D13
      / _xlfn.XLOOKUP(Transformador!$C13, Barra[Número], Barra[Tensão (kV)], "Barra não Encontrada", 0)
    ), 2)</f>
        <v>0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D191EF-B516-4308-8BE9-0ECBFE6D91B1}">
          <x14:formula1>
            <xm:f>'Dados Complementares'!$A$2:$A$1048576</xm:f>
          </x14:formula1>
          <xm:sqref>K6:K1048576</xm:sqref>
        </x14:dataValidation>
        <x14:dataValidation type="list" allowBlank="1" showInputMessage="1" showErrorMessage="1" xr:uid="{F6411377-60C4-4C74-8469-EBA3003274D2}">
          <x14:formula1>
            <xm:f>Barra!$B$6:$B$1048576</xm:f>
          </x14:formula1>
          <xm:sqref>E6:E1048576 C6:C1048576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0865-EC8F-493E-A3CF-F30CC93F6080}">
  <sheetPr codeName="Planilha4">
    <tabColor theme="7" tint="0.59999389629810485"/>
  </sheetPr>
  <dimension ref="A1:AR10"/>
  <sheetViews>
    <sheetView showGridLines="0" showRowColHeaders="0" tabSelected="1" zoomScale="96" zoomScaleNormal="96" workbookViewId="0">
      <selection activeCell="D10" sqref="D10:K10"/>
    </sheetView>
  </sheetViews>
  <sheetFormatPr defaultRowHeight="15" x14ac:dyDescent="0.25"/>
  <cols>
    <col min="1" max="1" width="11" style="25" bestFit="1" customWidth="1"/>
    <col min="2" max="3" width="20.5703125" style="25" bestFit="1" customWidth="1"/>
    <col min="4" max="4" width="27.5703125" style="25" bestFit="1" customWidth="1"/>
    <col min="5" max="5" width="16" style="25" bestFit="1" customWidth="1"/>
    <col min="6" max="7" width="16" style="25" customWidth="1"/>
    <col min="8" max="9" width="11.42578125" style="25" bestFit="1" customWidth="1"/>
    <col min="10" max="10" width="11.85546875" style="25" customWidth="1"/>
    <col min="11" max="11" width="20.7109375" style="25" bestFit="1" customWidth="1"/>
    <col min="12" max="13" width="20.7109375" style="4" customWidth="1"/>
    <col min="14" max="15" width="16.5703125" style="4" bestFit="1" customWidth="1"/>
    <col min="16" max="16" width="17.140625" style="4" customWidth="1"/>
    <col min="17" max="16384" width="9.140625" style="4"/>
  </cols>
  <sheetData>
    <row r="1" spans="1:44" customFormat="1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7" t="s">
        <v>37</v>
      </c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</row>
    <row r="3" spans="1:44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4" spans="1:44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spans="1:44" s="2" customFormat="1" x14ac:dyDescent="0.25">
      <c r="A5" s="3" t="s">
        <v>1</v>
      </c>
      <c r="B5" s="3" t="s">
        <v>78</v>
      </c>
      <c r="C5" s="3" t="s">
        <v>7</v>
      </c>
      <c r="D5" s="3" t="s">
        <v>4</v>
      </c>
      <c r="E5" s="3" t="s">
        <v>5</v>
      </c>
      <c r="F5" s="3" t="s">
        <v>63</v>
      </c>
      <c r="G5" s="3" t="s">
        <v>62</v>
      </c>
      <c r="H5" s="3" t="s">
        <v>20</v>
      </c>
      <c r="I5" s="3" t="s">
        <v>21</v>
      </c>
      <c r="J5" s="3" t="s">
        <v>56</v>
      </c>
      <c r="K5" s="3" t="s">
        <v>6</v>
      </c>
      <c r="L5" s="3" t="s">
        <v>64</v>
      </c>
      <c r="M5" s="3" t="s">
        <v>65</v>
      </c>
      <c r="N5" s="3" t="s">
        <v>34</v>
      </c>
      <c r="O5" s="3" t="s">
        <v>35</v>
      </c>
      <c r="P5" s="3" t="s">
        <v>57</v>
      </c>
    </row>
    <row r="6" spans="1:44" x14ac:dyDescent="0.25">
      <c r="A6" s="25" t="s">
        <v>31</v>
      </c>
      <c r="B6" s="25" t="s">
        <v>76</v>
      </c>
      <c r="C6" s="25">
        <v>1</v>
      </c>
      <c r="D6" s="25">
        <v>100</v>
      </c>
      <c r="E6" s="25">
        <v>13.8</v>
      </c>
      <c r="F6" s="25">
        <v>0</v>
      </c>
      <c r="G6" s="25">
        <v>0</v>
      </c>
      <c r="H6" s="25">
        <v>25</v>
      </c>
      <c r="I6" s="25">
        <v>7.5</v>
      </c>
      <c r="J6" s="25">
        <v>0</v>
      </c>
      <c r="K6" s="25" t="s">
        <v>8</v>
      </c>
      <c r="L6" s="24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6" s="24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6" s="24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6" s="24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6" s="24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</row>
    <row r="7" spans="1:44" x14ac:dyDescent="0.25">
      <c r="A7" s="25" t="s">
        <v>61</v>
      </c>
      <c r="B7" s="25" t="s">
        <v>76</v>
      </c>
      <c r="C7" s="25">
        <v>2</v>
      </c>
      <c r="D7" s="25">
        <v>100</v>
      </c>
      <c r="E7" s="25">
        <v>6.6</v>
      </c>
      <c r="F7" s="25">
        <v>0</v>
      </c>
      <c r="G7" s="25">
        <v>0</v>
      </c>
      <c r="H7" s="25">
        <v>25</v>
      </c>
      <c r="I7" s="25">
        <v>7.5</v>
      </c>
      <c r="J7" s="25">
        <v>10</v>
      </c>
      <c r="K7" s="25" t="s">
        <v>8</v>
      </c>
      <c r="L7" s="24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7" s="24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7" s="24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7" s="24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7" s="24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0.1</v>
      </c>
    </row>
    <row r="8" spans="1:44" x14ac:dyDescent="0.25">
      <c r="A8" s="25" t="s">
        <v>105</v>
      </c>
      <c r="B8" s="25" t="s">
        <v>76</v>
      </c>
      <c r="C8" s="25">
        <v>5</v>
      </c>
      <c r="D8" s="25">
        <v>100</v>
      </c>
      <c r="E8" s="25">
        <v>13.8</v>
      </c>
      <c r="F8" s="25">
        <v>0</v>
      </c>
      <c r="G8" s="25">
        <v>0</v>
      </c>
      <c r="H8" s="25">
        <v>25</v>
      </c>
      <c r="I8" s="25">
        <v>7.5</v>
      </c>
      <c r="J8" s="25">
        <v>10</v>
      </c>
      <c r="K8" s="25" t="s">
        <v>8</v>
      </c>
      <c r="L8" s="24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8" s="24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8" s="24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8" s="24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8" s="24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0.1</v>
      </c>
    </row>
    <row r="9" spans="1:44" x14ac:dyDescent="0.25">
      <c r="A9" s="25" t="s">
        <v>332</v>
      </c>
      <c r="B9" s="25" t="s">
        <v>76</v>
      </c>
      <c r="C9" s="25">
        <v>6</v>
      </c>
      <c r="D9" s="25">
        <v>100</v>
      </c>
      <c r="E9" s="25">
        <v>6.6</v>
      </c>
      <c r="F9" s="25">
        <v>0</v>
      </c>
      <c r="G9" s="25">
        <v>0</v>
      </c>
      <c r="H9" s="25">
        <v>25</v>
      </c>
      <c r="I9" s="25">
        <v>7.5</v>
      </c>
      <c r="J9" s="25">
        <v>10</v>
      </c>
      <c r="K9" s="25" t="s">
        <v>8</v>
      </c>
      <c r="L9" s="24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9" s="24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9" s="24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0.25</v>
      </c>
      <c r="O9" s="24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7.4999999999999997E-2</v>
      </c>
      <c r="P9" s="24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0.1</v>
      </c>
    </row>
    <row r="10" spans="1:44" x14ac:dyDescent="0.25">
      <c r="A10" s="25" t="s">
        <v>333</v>
      </c>
      <c r="B10" s="25" t="s">
        <v>77</v>
      </c>
      <c r="C10" s="25">
        <v>4</v>
      </c>
      <c r="D10" s="25">
        <v>100</v>
      </c>
      <c r="E10" s="25">
        <v>6.6</v>
      </c>
      <c r="F10" s="25">
        <v>0</v>
      </c>
      <c r="G10" s="25">
        <v>0</v>
      </c>
      <c r="H10" s="25">
        <v>25</v>
      </c>
      <c r="I10" s="25">
        <v>7.5</v>
      </c>
      <c r="J10" s="25">
        <v>10</v>
      </c>
      <c r="K10" s="25" t="s">
        <v>8</v>
      </c>
      <c r="L10" s="24">
        <f xml:space="preserve"> (Gerador[[#This Row],[R1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M10" s="24">
        <f xml:space="preserve"> (Gerador[[#This Row],[R0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0</v>
      </c>
      <c r="N10" s="24">
        <f xml:space="preserve"> (Gerador[[#This Row],[X1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2.0586011342155008E-4</v>
      </c>
      <c r="O10" s="24">
        <f xml:space="preserve"> (Gerador[[#This Row],[X0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6.1758034026465023E-5</v>
      </c>
      <c r="P10" s="24">
        <f xml:space="preserve"> (Gerador[[#This Row],[XN (%)]] / 100)
  * ('Dados Complementares'!$C$2 / Gerador[[#This Row],[Potência Nominal (MVA)]])
  * POWER((Gerador[[#This Row],[Tensão (kV)]]
      / _xlfn.XLOOKUP(Gerador[[#This Row],[Barra Conectada]], Barra[Número], Barra[Tensão (kV)], "Barra não Encontrada", 0)
    ), 2)</f>
        <v>8.2344045368620031E-5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2054BB0-12D3-400B-AAB8-DBFEC359C2A4}">
          <x14:formula1>
            <xm:f>'Dados Complementares'!$B$2:$B$4</xm:f>
          </x14:formula1>
          <xm:sqref>K6:K1048576</xm:sqref>
        </x14:dataValidation>
        <x14:dataValidation type="list" showInputMessage="1" showErrorMessage="1" xr:uid="{6B863E0A-DB01-4FC1-A538-A24537FEAF5A}">
          <x14:formula1>
            <xm:f>'Dados Complementares'!$J$2:$J$1048576</xm:f>
          </x14:formula1>
          <xm:sqref>B6:B1048576</xm:sqref>
        </x14:dataValidation>
        <x14:dataValidation type="list" allowBlank="1" showInputMessage="1" showErrorMessage="1" xr:uid="{7FD33D32-3B79-4982-AD53-443F7A200964}">
          <x14:formula1>
            <xm:f>Barra!$B$6:$B$1048576</xm:f>
          </x14:formula1>
          <xm:sqref>C6:C1048576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765D7-D7A7-490D-ABCD-A5B0E7A8A4DF}">
  <sheetPr codeName="Planilha5">
    <tabColor theme="7" tint="0.39997558519241921"/>
  </sheetPr>
  <dimension ref="A1:AH23"/>
  <sheetViews>
    <sheetView showGridLines="0" showRowColHeaders="0" zoomScale="96" zoomScaleNormal="96" workbookViewId="0">
      <selection activeCell="E28" sqref="E28"/>
    </sheetView>
  </sheetViews>
  <sheetFormatPr defaultRowHeight="15" x14ac:dyDescent="0.25"/>
  <cols>
    <col min="1" max="1" width="11" style="25" bestFit="1" customWidth="1"/>
    <col min="2" max="2" width="20.5703125" style="25" bestFit="1" customWidth="1"/>
    <col min="3" max="3" width="20.5703125" style="25" customWidth="1"/>
    <col min="4" max="4" width="27.5703125" style="25" bestFit="1" customWidth="1"/>
    <col min="5" max="5" width="25" style="25" bestFit="1" customWidth="1"/>
    <col min="6" max="6" width="20.7109375" style="25" bestFit="1" customWidth="1"/>
    <col min="7" max="7" width="20.7109375" style="25" customWidth="1"/>
    <col min="8" max="8" width="17.85546875" style="4" customWidth="1"/>
    <col min="9" max="16384" width="9.140625" style="4"/>
  </cols>
  <sheetData>
    <row r="1" spans="1:34" customFormat="1" ht="68.25" customHeight="1" x14ac:dyDescent="0.25">
      <c r="A1" s="7" t="s">
        <v>37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7" t="s">
        <v>37</v>
      </c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</row>
    <row r="2" spans="1:34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 x14ac:dyDescent="0.25">
      <c r="A3" s="4"/>
      <c r="B3" s="4"/>
      <c r="C3" s="4"/>
      <c r="D3" s="4"/>
      <c r="E3" s="4"/>
      <c r="F3" s="4"/>
      <c r="G3" s="4"/>
    </row>
    <row r="4" spans="1:34" x14ac:dyDescent="0.25">
      <c r="A4" s="4"/>
      <c r="B4" s="4"/>
      <c r="C4" s="4"/>
      <c r="D4" s="4"/>
      <c r="E4" s="4"/>
      <c r="F4" s="4"/>
      <c r="G4" s="4"/>
    </row>
    <row r="5" spans="1:34" s="2" customFormat="1" ht="14.25" customHeight="1" x14ac:dyDescent="0.25">
      <c r="A5" s="34" t="s">
        <v>1</v>
      </c>
      <c r="B5" s="34" t="s">
        <v>7</v>
      </c>
      <c r="C5" s="34" t="s">
        <v>5</v>
      </c>
      <c r="D5" s="34" t="s">
        <v>73</v>
      </c>
      <c r="E5" s="34" t="s">
        <v>74</v>
      </c>
      <c r="F5" s="34" t="s">
        <v>6</v>
      </c>
      <c r="G5" s="34" t="s">
        <v>64</v>
      </c>
      <c r="H5" s="34" t="s">
        <v>34</v>
      </c>
    </row>
    <row r="6" spans="1:34" x14ac:dyDescent="0.25">
      <c r="A6" s="25" t="s">
        <v>303</v>
      </c>
      <c r="B6" s="25">
        <v>4</v>
      </c>
      <c r="C6" s="25">
        <v>230</v>
      </c>
      <c r="D6" s="25">
        <v>125</v>
      </c>
      <c r="E6" s="25">
        <v>-50</v>
      </c>
      <c r="F6" s="25" t="s">
        <v>8</v>
      </c>
      <c r="G6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0.68965517241379304</v>
      </c>
      <c r="H6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-0.27586206896551702</v>
      </c>
    </row>
    <row r="7" spans="1:34" x14ac:dyDescent="0.25">
      <c r="A7" s="55" t="s">
        <v>302</v>
      </c>
      <c r="B7" s="55">
        <v>3</v>
      </c>
      <c r="C7" s="25">
        <v>230</v>
      </c>
      <c r="D7" s="55">
        <v>90</v>
      </c>
      <c r="E7" s="55">
        <v>-30</v>
      </c>
      <c r="F7" s="55" t="s">
        <v>8</v>
      </c>
      <c r="G7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1</v>
      </c>
      <c r="H7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-0.33333333333333298</v>
      </c>
    </row>
    <row r="8" spans="1:34" x14ac:dyDescent="0.25">
      <c r="A8" s="55" t="s">
        <v>301</v>
      </c>
      <c r="B8" s="55">
        <v>2</v>
      </c>
      <c r="C8" s="25">
        <v>6.6</v>
      </c>
      <c r="D8" s="55">
        <v>100</v>
      </c>
      <c r="E8" s="55">
        <v>-35</v>
      </c>
      <c r="F8" s="55" t="s">
        <v>8</v>
      </c>
      <c r="G8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8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9" spans="1:34" x14ac:dyDescent="0.25">
      <c r="A9" s="55" t="s">
        <v>300</v>
      </c>
      <c r="B9" s="55">
        <v>1</v>
      </c>
      <c r="C9" s="25">
        <v>13.8</v>
      </c>
      <c r="D9" s="55">
        <v>100</v>
      </c>
      <c r="E9" s="55">
        <v>-35</v>
      </c>
      <c r="F9" s="55" t="s">
        <v>8</v>
      </c>
      <c r="G9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9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0" spans="1:34" x14ac:dyDescent="0.25">
      <c r="A10" s="55" t="s">
        <v>97</v>
      </c>
      <c r="B10" s="55">
        <v>5</v>
      </c>
      <c r="C10" s="25">
        <v>13.8</v>
      </c>
      <c r="D10" s="55">
        <v>100</v>
      </c>
      <c r="E10" s="55">
        <v>-35</v>
      </c>
      <c r="F10" s="55" t="s">
        <v>8</v>
      </c>
      <c r="G10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0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1" spans="1:34" x14ac:dyDescent="0.25">
      <c r="A11" s="55" t="s">
        <v>106</v>
      </c>
      <c r="B11" s="55">
        <v>6</v>
      </c>
      <c r="C11" s="25">
        <v>6.6</v>
      </c>
      <c r="D11" s="55">
        <v>100</v>
      </c>
      <c r="E11" s="55">
        <v>-35</v>
      </c>
      <c r="F11" s="55" t="s">
        <v>8</v>
      </c>
      <c r="G11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1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2" spans="1:34" x14ac:dyDescent="0.25">
      <c r="A12" s="55" t="s">
        <v>313</v>
      </c>
      <c r="B12" s="55">
        <v>9</v>
      </c>
      <c r="C12" s="25">
        <v>0.22</v>
      </c>
      <c r="D12" s="55">
        <v>100</v>
      </c>
      <c r="E12" s="55">
        <v>-35</v>
      </c>
      <c r="F12" s="55" t="s">
        <v>8</v>
      </c>
      <c r="G12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2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3" spans="1:34" x14ac:dyDescent="0.25">
      <c r="A13" s="55" t="s">
        <v>314</v>
      </c>
      <c r="B13" s="55">
        <v>9</v>
      </c>
      <c r="C13" s="25">
        <v>0.22</v>
      </c>
      <c r="D13" s="55">
        <v>100</v>
      </c>
      <c r="E13" s="55">
        <v>-35</v>
      </c>
      <c r="F13" s="55" t="s">
        <v>8</v>
      </c>
      <c r="G13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3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4" spans="1:34" x14ac:dyDescent="0.25">
      <c r="A14" s="55" t="s">
        <v>315</v>
      </c>
      <c r="B14" s="55">
        <v>9</v>
      </c>
      <c r="C14" s="25">
        <v>0.22</v>
      </c>
      <c r="D14" s="55">
        <v>100</v>
      </c>
      <c r="E14" s="55">
        <v>-35</v>
      </c>
      <c r="F14" s="55" t="s">
        <v>8</v>
      </c>
      <c r="G14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4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5" spans="1:34" x14ac:dyDescent="0.25">
      <c r="A15" s="55" t="s">
        <v>316</v>
      </c>
      <c r="B15" s="55">
        <v>10</v>
      </c>
      <c r="C15" s="25">
        <v>0.22</v>
      </c>
      <c r="D15" s="55">
        <v>100</v>
      </c>
      <c r="E15" s="55">
        <v>-35</v>
      </c>
      <c r="F15" s="55" t="s">
        <v>8</v>
      </c>
      <c r="G15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5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6" spans="1:34" x14ac:dyDescent="0.25">
      <c r="A16" s="55" t="s">
        <v>317</v>
      </c>
      <c r="B16" s="55">
        <v>10</v>
      </c>
      <c r="C16" s="25">
        <v>0.22</v>
      </c>
      <c r="D16" s="55">
        <v>100</v>
      </c>
      <c r="E16" s="55">
        <v>-35</v>
      </c>
      <c r="F16" s="55" t="s">
        <v>8</v>
      </c>
      <c r="G16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6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7" spans="1:8" x14ac:dyDescent="0.25">
      <c r="A17" s="55" t="s">
        <v>318</v>
      </c>
      <c r="B17" s="55">
        <v>10</v>
      </c>
      <c r="C17" s="25">
        <v>0.22</v>
      </c>
      <c r="D17" s="55">
        <v>100</v>
      </c>
      <c r="E17" s="55">
        <v>-35</v>
      </c>
      <c r="F17" s="55" t="s">
        <v>8</v>
      </c>
      <c r="G17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7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8" spans="1:8" x14ac:dyDescent="0.25">
      <c r="A18" s="55" t="s">
        <v>319</v>
      </c>
      <c r="B18" s="55">
        <v>11</v>
      </c>
      <c r="C18" s="25">
        <v>0.22</v>
      </c>
      <c r="D18" s="55">
        <v>100</v>
      </c>
      <c r="E18" s="55">
        <v>-35</v>
      </c>
      <c r="F18" s="55" t="s">
        <v>8</v>
      </c>
      <c r="G18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8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19" spans="1:8" x14ac:dyDescent="0.25">
      <c r="A19" s="55" t="s">
        <v>320</v>
      </c>
      <c r="B19" s="55">
        <v>11</v>
      </c>
      <c r="C19" s="25">
        <v>0.22</v>
      </c>
      <c r="D19" s="55">
        <v>100</v>
      </c>
      <c r="E19" s="55">
        <v>-35</v>
      </c>
      <c r="F19" s="55" t="s">
        <v>8</v>
      </c>
      <c r="G19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19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20" spans="1:8" x14ac:dyDescent="0.25">
      <c r="A20" s="55" t="s">
        <v>321</v>
      </c>
      <c r="B20" s="55">
        <v>11</v>
      </c>
      <c r="C20" s="25">
        <v>0.22</v>
      </c>
      <c r="D20" s="55">
        <v>100</v>
      </c>
      <c r="E20" s="55">
        <v>-35</v>
      </c>
      <c r="F20" s="55" t="s">
        <v>8</v>
      </c>
      <c r="G20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20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21" spans="1:8" x14ac:dyDescent="0.25">
      <c r="A21" s="55" t="s">
        <v>322</v>
      </c>
      <c r="B21" s="55">
        <v>12</v>
      </c>
      <c r="C21" s="25">
        <v>0.22</v>
      </c>
      <c r="D21" s="55">
        <v>100</v>
      </c>
      <c r="E21" s="55">
        <v>-35</v>
      </c>
      <c r="F21" s="55" t="s">
        <v>8</v>
      </c>
      <c r="G21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21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22" spans="1:8" x14ac:dyDescent="0.25">
      <c r="A22" s="55" t="s">
        <v>323</v>
      </c>
      <c r="B22" s="55">
        <v>12</v>
      </c>
      <c r="C22" s="25">
        <v>0.22</v>
      </c>
      <c r="D22" s="55">
        <v>100</v>
      </c>
      <c r="E22" s="55">
        <v>-35</v>
      </c>
      <c r="F22" s="55" t="s">
        <v>8</v>
      </c>
      <c r="G22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22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  <row r="23" spans="1:8" x14ac:dyDescent="0.25">
      <c r="A23" s="55" t="s">
        <v>324</v>
      </c>
      <c r="B23" s="55">
        <v>12</v>
      </c>
      <c r="C23" s="25">
        <v>0.22</v>
      </c>
      <c r="D23" s="55">
        <v>100</v>
      </c>
      <c r="E23" s="55">
        <v>-35</v>
      </c>
      <c r="F23" s="55" t="s">
        <v>8</v>
      </c>
      <c r="G23" s="56">
        <f>IFERROR(IMREAL(IMDIV(POWER(Carga[[#This Row],[Tensão (kV)]] / _xlfn.XLOOKUP(Carga[[#This Row],[Barra Conectada]], Barra[Número], Barra[Tensão (kV)], "",0), 2), COMPLEX(Carga[[#This Row],[Potência Ativa (%)]]/100,-Carga[[#This Row],[Potência Reativa (%)]]/100,"j"))), "")</f>
        <v>0.89086859688195996</v>
      </c>
      <c r="H23" s="51">
        <f>IFERROR(IMAGINARY(IMDIV(POWER(Carga[[#This Row],[Tensão (kV)]] / _xlfn.XLOOKUP(Carga[[#This Row],[Barra Conectada]], Barra[Número], Barra[Tensão (kV)], "",0), 2), COMPLEX(Carga[[#This Row],[Potência Ativa (%)]]/100,-Carga[[#This Row],[Potência Reativa (%)]]/100,"j"))), "")</f>
        <v>-0.31180400890868598</v>
      </c>
    </row>
  </sheetData>
  <sheetProtection insertRows="0" select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G6:H8 G24:H1048576" unlockedFormula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ABCDB47-3ECF-4C0B-BA35-835C74BEFBDB}">
          <x14:formula1>
            <xm:f>'Dados Complementares'!$B:$B</xm:f>
          </x14:formula1>
          <xm:sqref>F6:F1048576</xm:sqref>
        </x14:dataValidation>
        <x14:dataValidation type="list" allowBlank="1" showInputMessage="1" showErrorMessage="1" xr:uid="{BE934D6B-9A01-48B5-9BF6-6246D0F29139}">
          <x14:formula1>
            <xm:f>Barra!$B$6:$B$1048576</xm:f>
          </x14:formula1>
          <xm:sqref>B6:B1048576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40139-9B10-42A4-8EEC-92601C18F70B}">
  <sheetPr codeName="Planilha7">
    <tabColor rgb="FF00B050"/>
  </sheetPr>
  <dimension ref="A1:AR13"/>
  <sheetViews>
    <sheetView showGridLines="0" showRowColHeaders="0" zoomScale="96" zoomScaleNormal="96" workbookViewId="0"/>
  </sheetViews>
  <sheetFormatPr defaultRowHeight="30" customHeight="1" x14ac:dyDescent="0.25"/>
  <cols>
    <col min="1" max="1" width="11" style="11" customWidth="1"/>
    <col min="2" max="2" width="2.140625" style="4" bestFit="1" customWidth="1"/>
    <col min="3" max="11" width="16.85546875" style="4" bestFit="1" customWidth="1"/>
    <col min="12" max="12" width="19.28515625" style="4" bestFit="1" customWidth="1"/>
    <col min="13" max="13" width="20.7109375" style="4" customWidth="1"/>
    <col min="14" max="14" width="16.5703125" style="4" bestFit="1" customWidth="1"/>
    <col min="15" max="15" width="16.5703125" style="4" customWidth="1"/>
    <col min="16" max="16" width="16.5703125" style="4" bestFit="1" customWidth="1"/>
    <col min="17" max="17" width="13.42578125" style="4" customWidth="1"/>
    <col min="18" max="16384" width="9.140625" style="4"/>
  </cols>
  <sheetData>
    <row r="1" spans="1:44" s="59" customFormat="1" ht="68.25" customHeight="1" x14ac:dyDescent="0.25">
      <c r="A1" s="57" t="s">
        <v>37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7" t="s">
        <v>37</v>
      </c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</row>
    <row r="2" spans="1:44" s="59" customFormat="1" ht="38.25" customHeight="1" thickBot="1" x14ac:dyDescent="0.3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</row>
    <row r="3" spans="1:44" s="11" customFormat="1" ht="15" x14ac:dyDescent="0.25"/>
    <row r="4" spans="1:44" ht="30" customHeight="1" x14ac:dyDescent="0.25">
      <c r="B4" s="1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</row>
    <row r="5" spans="1:44" ht="30" customHeight="1" x14ac:dyDescent="0.25">
      <c r="B5" s="1">
        <v>1</v>
      </c>
      <c r="C5" s="4" t="s">
        <v>109</v>
      </c>
      <c r="D5" s="4" t="s">
        <v>110</v>
      </c>
      <c r="E5" s="4" t="s">
        <v>110</v>
      </c>
      <c r="F5" s="4" t="s">
        <v>111</v>
      </c>
      <c r="G5" s="4" t="s">
        <v>110</v>
      </c>
      <c r="H5" s="4" t="s">
        <v>110</v>
      </c>
      <c r="I5" s="4" t="s">
        <v>110</v>
      </c>
      <c r="J5" s="4" t="s">
        <v>110</v>
      </c>
      <c r="K5" s="4" t="s">
        <v>110</v>
      </c>
    </row>
    <row r="6" spans="1:44" ht="30" customHeight="1" x14ac:dyDescent="0.25">
      <c r="B6" s="1">
        <v>2</v>
      </c>
      <c r="C6" s="4" t="s">
        <v>110</v>
      </c>
      <c r="D6" s="4" t="s">
        <v>112</v>
      </c>
      <c r="E6" s="4" t="s">
        <v>110</v>
      </c>
      <c r="F6" s="4" t="s">
        <v>110</v>
      </c>
      <c r="G6" s="4" t="s">
        <v>110</v>
      </c>
      <c r="H6" s="4" t="s">
        <v>110</v>
      </c>
      <c r="I6" s="4" t="s">
        <v>113</v>
      </c>
      <c r="J6" s="4" t="s">
        <v>110</v>
      </c>
      <c r="K6" s="4" t="s">
        <v>110</v>
      </c>
    </row>
    <row r="7" spans="1:44" ht="30" customHeight="1" x14ac:dyDescent="0.25">
      <c r="B7" s="1">
        <v>3</v>
      </c>
      <c r="C7" s="4" t="s">
        <v>110</v>
      </c>
      <c r="D7" s="4" t="s">
        <v>110</v>
      </c>
      <c r="E7" s="4" t="s">
        <v>114</v>
      </c>
      <c r="F7" s="4" t="s">
        <v>110</v>
      </c>
      <c r="G7" s="4" t="s">
        <v>110</v>
      </c>
      <c r="H7" s="4" t="s">
        <v>110</v>
      </c>
      <c r="I7" s="4" t="s">
        <v>110</v>
      </c>
      <c r="J7" s="4" t="s">
        <v>110</v>
      </c>
      <c r="K7" s="4" t="s">
        <v>115</v>
      </c>
    </row>
    <row r="8" spans="1:44" ht="30" customHeight="1" x14ac:dyDescent="0.25">
      <c r="B8" s="1">
        <v>4</v>
      </c>
      <c r="C8" s="4" t="s">
        <v>111</v>
      </c>
      <c r="D8" s="4" t="s">
        <v>110</v>
      </c>
      <c r="E8" s="4" t="s">
        <v>110</v>
      </c>
      <c r="F8" s="4" t="s">
        <v>116</v>
      </c>
      <c r="G8" s="4" t="s">
        <v>117</v>
      </c>
      <c r="H8" s="4" t="s">
        <v>118</v>
      </c>
      <c r="I8" s="4" t="s">
        <v>110</v>
      </c>
      <c r="J8" s="4" t="s">
        <v>110</v>
      </c>
      <c r="K8" s="4" t="s">
        <v>110</v>
      </c>
    </row>
    <row r="9" spans="1:44" ht="30" customHeight="1" x14ac:dyDescent="0.25">
      <c r="B9" s="1">
        <v>5</v>
      </c>
      <c r="C9" s="4" t="s">
        <v>110</v>
      </c>
      <c r="D9" s="4" t="s">
        <v>110</v>
      </c>
      <c r="E9" s="4" t="s">
        <v>110</v>
      </c>
      <c r="F9" s="4" t="s">
        <v>117</v>
      </c>
      <c r="G9" s="4" t="s">
        <v>141</v>
      </c>
      <c r="H9" s="4" t="s">
        <v>110</v>
      </c>
      <c r="I9" s="4" t="s">
        <v>119</v>
      </c>
      <c r="J9" s="4" t="s">
        <v>110</v>
      </c>
      <c r="K9" s="4" t="s">
        <v>110</v>
      </c>
    </row>
    <row r="10" spans="1:44" ht="30" customHeight="1" x14ac:dyDescent="0.25">
      <c r="B10" s="1">
        <v>6</v>
      </c>
      <c r="C10" s="4" t="s">
        <v>110</v>
      </c>
      <c r="D10" s="4" t="s">
        <v>110</v>
      </c>
      <c r="E10" s="4" t="s">
        <v>110</v>
      </c>
      <c r="F10" s="4" t="s">
        <v>118</v>
      </c>
      <c r="G10" s="4" t="s">
        <v>110</v>
      </c>
      <c r="H10" s="4" t="s">
        <v>142</v>
      </c>
      <c r="I10" s="4" t="s">
        <v>110</v>
      </c>
      <c r="J10" s="4" t="s">
        <v>110</v>
      </c>
      <c r="K10" s="4" t="s">
        <v>120</v>
      </c>
    </row>
    <row r="11" spans="1:44" ht="30" customHeight="1" x14ac:dyDescent="0.25">
      <c r="B11" s="1">
        <v>7</v>
      </c>
      <c r="C11" s="4" t="s">
        <v>110</v>
      </c>
      <c r="D11" s="4" t="s">
        <v>113</v>
      </c>
      <c r="E11" s="4" t="s">
        <v>110</v>
      </c>
      <c r="F11" s="4" t="s">
        <v>110</v>
      </c>
      <c r="G11" s="4" t="s">
        <v>119</v>
      </c>
      <c r="H11" s="4" t="s">
        <v>110</v>
      </c>
      <c r="I11" s="4" t="s">
        <v>121</v>
      </c>
      <c r="J11" s="4" t="s">
        <v>122</v>
      </c>
      <c r="K11" s="4" t="s">
        <v>110</v>
      </c>
    </row>
    <row r="12" spans="1:44" ht="30" customHeight="1" x14ac:dyDescent="0.25">
      <c r="B12" s="1">
        <v>8</v>
      </c>
      <c r="C12" s="4" t="s">
        <v>110</v>
      </c>
      <c r="D12" s="4" t="s">
        <v>110</v>
      </c>
      <c r="E12" s="4" t="s">
        <v>110</v>
      </c>
      <c r="F12" s="4" t="s">
        <v>110</v>
      </c>
      <c r="G12" s="4" t="s">
        <v>110</v>
      </c>
      <c r="H12" s="4" t="s">
        <v>110</v>
      </c>
      <c r="I12" s="4" t="s">
        <v>122</v>
      </c>
      <c r="J12" s="4" t="s">
        <v>143</v>
      </c>
      <c r="K12" s="4" t="s">
        <v>123</v>
      </c>
    </row>
    <row r="13" spans="1:44" ht="30" customHeight="1" x14ac:dyDescent="0.25">
      <c r="B13" s="1">
        <v>9</v>
      </c>
      <c r="C13" s="4" t="s">
        <v>110</v>
      </c>
      <c r="D13" s="4" t="s">
        <v>110</v>
      </c>
      <c r="E13" s="4" t="s">
        <v>115</v>
      </c>
      <c r="F13" s="4" t="s">
        <v>110</v>
      </c>
      <c r="G13" s="4" t="s">
        <v>110</v>
      </c>
      <c r="H13" s="4" t="s">
        <v>120</v>
      </c>
      <c r="I13" s="4" t="s">
        <v>110</v>
      </c>
      <c r="J13" s="4" t="s">
        <v>123</v>
      </c>
      <c r="K13" s="4" t="s">
        <v>124</v>
      </c>
    </row>
  </sheetData>
  <sheetProtection algorithmName="SHA-512" hashValue="Uc1g0AJgKl0rbJtXmDbJs9lO02/bKrzpFLin/cDetELhoLfIqw0IlNUD8Z0ChETfFHZg34UaQSFIsIh0BTtb8w==" saltValue="s3W+UjsczY0zbi/Mg23mt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143E-B922-4B83-AE18-17BCE3092C14}">
  <sheetPr codeName="Planilha8">
    <tabColor rgb="FF00B050"/>
  </sheetPr>
  <dimension ref="A1:AR13"/>
  <sheetViews>
    <sheetView showGridLines="0" showRowColHeaders="0" zoomScale="96" zoomScaleNormal="96" workbookViewId="0"/>
  </sheetViews>
  <sheetFormatPr defaultRowHeight="30" customHeight="1" x14ac:dyDescent="0.25"/>
  <cols>
    <col min="1" max="1" width="11" style="11" bestFit="1" customWidth="1"/>
    <col min="2" max="2" width="2.140625" style="4" bestFit="1" customWidth="1"/>
    <col min="3" max="11" width="15.140625" style="4" bestFit="1" customWidth="1"/>
    <col min="12" max="12" width="15.28515625" style="4" bestFit="1" customWidth="1"/>
    <col min="13" max="13" width="20.7109375" style="4" customWidth="1"/>
    <col min="14" max="14" width="16.5703125" style="4" bestFit="1" customWidth="1"/>
    <col min="15" max="15" width="16.5703125" style="4" customWidth="1"/>
    <col min="16" max="16" width="16.5703125" style="4" bestFit="1" customWidth="1"/>
    <col min="17" max="17" width="13.42578125" style="4" customWidth="1"/>
    <col min="18" max="16384" width="9.140625" style="4"/>
  </cols>
  <sheetData>
    <row r="1" spans="1:44" customFormat="1" ht="68.25" customHeight="1" x14ac:dyDescent="0.25">
      <c r="A1" s="7" t="s">
        <v>37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7" t="s">
        <v>37</v>
      </c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</row>
    <row r="3" spans="1:44" ht="15" x14ac:dyDescent="0.25">
      <c r="A3" s="4"/>
    </row>
    <row r="4" spans="1:44" ht="30" customHeight="1" x14ac:dyDescent="0.25">
      <c r="B4" s="1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</row>
    <row r="5" spans="1:44" ht="30" customHeight="1" x14ac:dyDescent="0.25">
      <c r="B5" s="1">
        <v>1</v>
      </c>
      <c r="C5" s="4" t="s">
        <v>144</v>
      </c>
      <c r="D5" s="4" t="s">
        <v>145</v>
      </c>
      <c r="E5" s="4" t="s">
        <v>146</v>
      </c>
      <c r="F5" s="4" t="s">
        <v>147</v>
      </c>
      <c r="G5" s="4" t="s">
        <v>148</v>
      </c>
      <c r="H5" s="4" t="s">
        <v>149</v>
      </c>
      <c r="I5" s="4" t="s">
        <v>150</v>
      </c>
      <c r="J5" s="4" t="s">
        <v>151</v>
      </c>
      <c r="K5" s="4" t="s">
        <v>152</v>
      </c>
    </row>
    <row r="6" spans="1:44" ht="30" customHeight="1" x14ac:dyDescent="0.25">
      <c r="B6" s="1">
        <v>2</v>
      </c>
      <c r="C6" s="4" t="s">
        <v>145</v>
      </c>
      <c r="D6" s="4" t="s">
        <v>153</v>
      </c>
      <c r="E6" s="4" t="s">
        <v>154</v>
      </c>
      <c r="F6" s="4" t="s">
        <v>155</v>
      </c>
      <c r="G6" s="4" t="s">
        <v>156</v>
      </c>
      <c r="H6" s="4" t="s">
        <v>157</v>
      </c>
      <c r="I6" s="4" t="s">
        <v>158</v>
      </c>
      <c r="J6" s="4" t="s">
        <v>159</v>
      </c>
      <c r="K6" s="4" t="s">
        <v>160</v>
      </c>
    </row>
    <row r="7" spans="1:44" ht="30" customHeight="1" x14ac:dyDescent="0.25">
      <c r="B7" s="1">
        <v>3</v>
      </c>
      <c r="C7" s="4" t="s">
        <v>146</v>
      </c>
      <c r="D7" s="4" t="s">
        <v>154</v>
      </c>
      <c r="E7" s="4" t="s">
        <v>161</v>
      </c>
      <c r="F7" s="4" t="s">
        <v>162</v>
      </c>
      <c r="G7" s="4" t="s">
        <v>163</v>
      </c>
      <c r="H7" s="4" t="s">
        <v>164</v>
      </c>
      <c r="I7" s="4" t="s">
        <v>165</v>
      </c>
      <c r="J7" s="4" t="s">
        <v>166</v>
      </c>
      <c r="K7" s="4" t="s">
        <v>167</v>
      </c>
    </row>
    <row r="8" spans="1:44" ht="30" customHeight="1" x14ac:dyDescent="0.25">
      <c r="B8" s="1">
        <v>4</v>
      </c>
      <c r="C8" s="4" t="s">
        <v>147</v>
      </c>
      <c r="D8" s="4" t="s">
        <v>155</v>
      </c>
      <c r="E8" s="4" t="s">
        <v>162</v>
      </c>
      <c r="F8" s="4" t="s">
        <v>168</v>
      </c>
      <c r="G8" s="4" t="s">
        <v>169</v>
      </c>
      <c r="H8" s="4" t="s">
        <v>170</v>
      </c>
      <c r="I8" s="4" t="s">
        <v>171</v>
      </c>
      <c r="J8" s="4" t="s">
        <v>172</v>
      </c>
      <c r="K8" s="4" t="s">
        <v>173</v>
      </c>
    </row>
    <row r="9" spans="1:44" ht="30" customHeight="1" x14ac:dyDescent="0.25">
      <c r="B9" s="1">
        <v>5</v>
      </c>
      <c r="C9" s="4" t="s">
        <v>148</v>
      </c>
      <c r="D9" s="4" t="s">
        <v>156</v>
      </c>
      <c r="E9" s="4" t="s">
        <v>163</v>
      </c>
      <c r="F9" s="4" t="s">
        <v>169</v>
      </c>
      <c r="G9" s="4" t="s">
        <v>174</v>
      </c>
      <c r="H9" s="4" t="s">
        <v>175</v>
      </c>
      <c r="I9" s="4" t="s">
        <v>176</v>
      </c>
      <c r="J9" s="4" t="s">
        <v>177</v>
      </c>
      <c r="K9" s="4" t="s">
        <v>178</v>
      </c>
    </row>
    <row r="10" spans="1:44" ht="30" customHeight="1" x14ac:dyDescent="0.25">
      <c r="B10" s="1">
        <v>6</v>
      </c>
      <c r="C10" s="4" t="s">
        <v>149</v>
      </c>
      <c r="D10" s="4" t="s">
        <v>157</v>
      </c>
      <c r="E10" s="4" t="s">
        <v>164</v>
      </c>
      <c r="F10" s="4" t="s">
        <v>170</v>
      </c>
      <c r="G10" s="4" t="s">
        <v>175</v>
      </c>
      <c r="H10" s="4" t="s">
        <v>179</v>
      </c>
      <c r="I10" s="4" t="s">
        <v>180</v>
      </c>
      <c r="J10" s="4" t="s">
        <v>181</v>
      </c>
      <c r="K10" s="4" t="s">
        <v>182</v>
      </c>
    </row>
    <row r="11" spans="1:44" ht="30" customHeight="1" x14ac:dyDescent="0.25">
      <c r="B11" s="1">
        <v>7</v>
      </c>
      <c r="C11" s="4" t="s">
        <v>150</v>
      </c>
      <c r="D11" s="4" t="s">
        <v>158</v>
      </c>
      <c r="E11" s="4" t="s">
        <v>165</v>
      </c>
      <c r="F11" s="4" t="s">
        <v>171</v>
      </c>
      <c r="G11" s="4" t="s">
        <v>176</v>
      </c>
      <c r="H11" s="4" t="s">
        <v>180</v>
      </c>
      <c r="I11" s="4" t="s">
        <v>183</v>
      </c>
      <c r="J11" s="4" t="s">
        <v>184</v>
      </c>
      <c r="K11" s="4" t="s">
        <v>185</v>
      </c>
    </row>
    <row r="12" spans="1:44" ht="30" customHeight="1" x14ac:dyDescent="0.25">
      <c r="B12" s="1">
        <v>8</v>
      </c>
      <c r="C12" s="4" t="s">
        <v>151</v>
      </c>
      <c r="D12" s="4" t="s">
        <v>159</v>
      </c>
      <c r="E12" s="4" t="s">
        <v>166</v>
      </c>
      <c r="F12" s="4" t="s">
        <v>172</v>
      </c>
      <c r="G12" s="4" t="s">
        <v>177</v>
      </c>
      <c r="H12" s="4" t="s">
        <v>181</v>
      </c>
      <c r="I12" s="4" t="s">
        <v>184</v>
      </c>
      <c r="J12" s="4" t="s">
        <v>186</v>
      </c>
      <c r="K12" s="4" t="s">
        <v>187</v>
      </c>
    </row>
    <row r="13" spans="1:44" ht="30" customHeight="1" x14ac:dyDescent="0.25">
      <c r="B13" s="1">
        <v>9</v>
      </c>
      <c r="C13" s="4" t="s">
        <v>152</v>
      </c>
      <c r="D13" s="4" t="s">
        <v>160</v>
      </c>
      <c r="E13" s="4" t="s">
        <v>167</v>
      </c>
      <c r="F13" s="4" t="s">
        <v>173</v>
      </c>
      <c r="G13" s="4" t="s">
        <v>178</v>
      </c>
      <c r="H13" s="4" t="s">
        <v>182</v>
      </c>
      <c r="I13" s="4" t="s">
        <v>185</v>
      </c>
      <c r="J13" s="4" t="s">
        <v>187</v>
      </c>
      <c r="K13" s="4" t="s">
        <v>188</v>
      </c>
    </row>
  </sheetData>
  <sheetProtection algorithmName="SHA-512" hashValue="Z97t0YigmTAxo0pY0XJd/rkFV6BU4pKu5lpmcruxSBkZ11fo/1imzjz65/hpW5xG3oarmDuaoh+2bcVTSm6ouw==" saltValue="fS+evZkcHAMTy0Suayq4+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89F3-0A21-4FDB-9AAB-93F41FB13F88}">
  <sheetPr codeName="Planilha9">
    <tabColor rgb="FF00B050"/>
  </sheetPr>
  <dimension ref="A1:AR13"/>
  <sheetViews>
    <sheetView showGridLines="0" showRowColHeaders="0" zoomScale="70" zoomScaleNormal="70" workbookViewId="0"/>
  </sheetViews>
  <sheetFormatPr defaultRowHeight="30" customHeight="1" x14ac:dyDescent="0.25"/>
  <cols>
    <col min="1" max="1" width="11" style="11" bestFit="1" customWidth="1"/>
    <col min="2" max="2" width="2.140625" style="4" bestFit="1" customWidth="1"/>
    <col min="3" max="3" width="16.85546875" style="4" bestFit="1" customWidth="1"/>
    <col min="4" max="11" width="15.7109375" style="4" bestFit="1" customWidth="1"/>
    <col min="12" max="12" width="19.28515625" style="4" bestFit="1" customWidth="1"/>
    <col min="13" max="13" width="20.7109375" style="4" customWidth="1"/>
    <col min="14" max="14" width="16.5703125" style="4" bestFit="1" customWidth="1"/>
    <col min="15" max="15" width="16.5703125" style="4" customWidth="1"/>
    <col min="16" max="16" width="16.5703125" style="4" bestFit="1" customWidth="1"/>
    <col min="17" max="17" width="13.42578125" style="4" customWidth="1"/>
    <col min="18" max="16384" width="9.140625" style="4"/>
  </cols>
  <sheetData>
    <row r="1" spans="1:44" customFormat="1" ht="68.25" customHeight="1" x14ac:dyDescent="0.25">
      <c r="A1" s="7" t="s">
        <v>37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7" t="s">
        <v>37</v>
      </c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</row>
    <row r="3" spans="1:44" ht="15" x14ac:dyDescent="0.25">
      <c r="A3" s="4"/>
    </row>
    <row r="4" spans="1:44" ht="30" customHeight="1" x14ac:dyDescent="0.25">
      <c r="B4" s="1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</row>
    <row r="5" spans="1:44" ht="30" customHeight="1" x14ac:dyDescent="0.25">
      <c r="B5" s="1">
        <v>1</v>
      </c>
      <c r="C5" s="4" t="s">
        <v>125</v>
      </c>
      <c r="D5" s="4" t="s">
        <v>110</v>
      </c>
      <c r="E5" s="4" t="s">
        <v>110</v>
      </c>
      <c r="F5" s="4" t="s">
        <v>110</v>
      </c>
      <c r="G5" s="4" t="s">
        <v>110</v>
      </c>
      <c r="H5" s="4" t="s">
        <v>110</v>
      </c>
      <c r="I5" s="4" t="s">
        <v>110</v>
      </c>
      <c r="J5" s="4" t="s">
        <v>110</v>
      </c>
      <c r="K5" s="4" t="s">
        <v>110</v>
      </c>
    </row>
    <row r="6" spans="1:44" ht="30" customHeight="1" x14ac:dyDescent="0.25">
      <c r="B6" s="1">
        <v>2</v>
      </c>
      <c r="C6" s="4" t="s">
        <v>110</v>
      </c>
      <c r="D6" s="4" t="s">
        <v>126</v>
      </c>
      <c r="E6" s="4" t="s">
        <v>110</v>
      </c>
      <c r="F6" s="4" t="s">
        <v>110</v>
      </c>
      <c r="G6" s="4" t="s">
        <v>110</v>
      </c>
      <c r="H6" s="4" t="s">
        <v>110</v>
      </c>
      <c r="I6" s="4" t="s">
        <v>110</v>
      </c>
      <c r="J6" s="4" t="s">
        <v>110</v>
      </c>
      <c r="K6" s="4" t="s">
        <v>110</v>
      </c>
    </row>
    <row r="7" spans="1:44" ht="30" customHeight="1" x14ac:dyDescent="0.25">
      <c r="B7" s="1">
        <v>3</v>
      </c>
      <c r="C7" s="4" t="s">
        <v>110</v>
      </c>
      <c r="D7" s="4" t="s">
        <v>110</v>
      </c>
      <c r="E7" s="4" t="s">
        <v>127</v>
      </c>
      <c r="F7" s="4" t="s">
        <v>110</v>
      </c>
      <c r="G7" s="4" t="s">
        <v>110</v>
      </c>
      <c r="H7" s="4" t="s">
        <v>110</v>
      </c>
      <c r="I7" s="4" t="s">
        <v>110</v>
      </c>
      <c r="J7" s="4" t="s">
        <v>110</v>
      </c>
      <c r="K7" s="4" t="s">
        <v>110</v>
      </c>
    </row>
    <row r="8" spans="1:44" ht="30" customHeight="1" x14ac:dyDescent="0.25">
      <c r="B8" s="1">
        <v>4</v>
      </c>
      <c r="C8" s="4" t="s">
        <v>110</v>
      </c>
      <c r="D8" s="4" t="s">
        <v>110</v>
      </c>
      <c r="E8" s="4" t="s">
        <v>110</v>
      </c>
      <c r="F8" s="4" t="s">
        <v>128</v>
      </c>
      <c r="G8" s="4" t="s">
        <v>129</v>
      </c>
      <c r="H8" s="4" t="s">
        <v>130</v>
      </c>
      <c r="I8" s="4" t="s">
        <v>110</v>
      </c>
      <c r="J8" s="4" t="s">
        <v>110</v>
      </c>
      <c r="K8" s="4" t="s">
        <v>110</v>
      </c>
    </row>
    <row r="9" spans="1:44" ht="30" customHeight="1" x14ac:dyDescent="0.25">
      <c r="B9" s="1">
        <v>5</v>
      </c>
      <c r="C9" s="4" t="s">
        <v>110</v>
      </c>
      <c r="D9" s="4" t="s">
        <v>110</v>
      </c>
      <c r="E9" s="4" t="s">
        <v>110</v>
      </c>
      <c r="F9" s="4" t="s">
        <v>129</v>
      </c>
      <c r="G9" s="4" t="s">
        <v>189</v>
      </c>
      <c r="H9" s="4" t="s">
        <v>110</v>
      </c>
      <c r="I9" s="4" t="s">
        <v>131</v>
      </c>
      <c r="J9" s="4" t="s">
        <v>110</v>
      </c>
      <c r="K9" s="4" t="s">
        <v>110</v>
      </c>
    </row>
    <row r="10" spans="1:44" ht="30" customHeight="1" x14ac:dyDescent="0.25">
      <c r="B10" s="1">
        <v>6</v>
      </c>
      <c r="C10" s="4" t="s">
        <v>110</v>
      </c>
      <c r="D10" s="4" t="s">
        <v>110</v>
      </c>
      <c r="E10" s="4" t="s">
        <v>110</v>
      </c>
      <c r="F10" s="4" t="s">
        <v>130</v>
      </c>
      <c r="G10" s="4" t="s">
        <v>110</v>
      </c>
      <c r="H10" s="4" t="s">
        <v>190</v>
      </c>
      <c r="I10" s="4" t="s">
        <v>110</v>
      </c>
      <c r="J10" s="4" t="s">
        <v>110</v>
      </c>
      <c r="K10" s="4" t="s">
        <v>132</v>
      </c>
    </row>
    <row r="11" spans="1:44" ht="30" customHeight="1" x14ac:dyDescent="0.25">
      <c r="B11" s="1">
        <v>7</v>
      </c>
      <c r="C11" s="4" t="s">
        <v>110</v>
      </c>
      <c r="D11" s="4" t="s">
        <v>110</v>
      </c>
      <c r="E11" s="4" t="s">
        <v>110</v>
      </c>
      <c r="F11" s="4" t="s">
        <v>110</v>
      </c>
      <c r="G11" s="4" t="s">
        <v>131</v>
      </c>
      <c r="H11" s="4" t="s">
        <v>110</v>
      </c>
      <c r="I11" s="4" t="s">
        <v>133</v>
      </c>
      <c r="J11" s="4" t="s">
        <v>134</v>
      </c>
      <c r="K11" s="4" t="s">
        <v>110</v>
      </c>
    </row>
    <row r="12" spans="1:44" ht="30" customHeight="1" x14ac:dyDescent="0.25">
      <c r="B12" s="1">
        <v>8</v>
      </c>
      <c r="C12" s="4" t="s">
        <v>110</v>
      </c>
      <c r="D12" s="4" t="s">
        <v>110</v>
      </c>
      <c r="E12" s="4" t="s">
        <v>110</v>
      </c>
      <c r="F12" s="4" t="s">
        <v>110</v>
      </c>
      <c r="G12" s="4" t="s">
        <v>110</v>
      </c>
      <c r="H12" s="4" t="s">
        <v>110</v>
      </c>
      <c r="I12" s="4" t="s">
        <v>134</v>
      </c>
      <c r="J12" s="4" t="s">
        <v>191</v>
      </c>
      <c r="K12" s="4" t="s">
        <v>135</v>
      </c>
    </row>
    <row r="13" spans="1:44" ht="30" customHeight="1" x14ac:dyDescent="0.25">
      <c r="B13" s="1">
        <v>9</v>
      </c>
      <c r="C13" s="4" t="s">
        <v>110</v>
      </c>
      <c r="D13" s="4" t="s">
        <v>110</v>
      </c>
      <c r="E13" s="4" t="s">
        <v>110</v>
      </c>
      <c r="F13" s="4" t="s">
        <v>110</v>
      </c>
      <c r="G13" s="4" t="s">
        <v>110</v>
      </c>
      <c r="H13" s="4" t="s">
        <v>132</v>
      </c>
      <c r="I13" s="4" t="s">
        <v>110</v>
      </c>
      <c r="J13" s="4" t="s">
        <v>135</v>
      </c>
      <c r="K13" s="4" t="s">
        <v>136</v>
      </c>
    </row>
  </sheetData>
  <sheetProtection algorithmName="SHA-512" hashValue="eIiYZjjj/us6PRLZjW0DPXoYRDg+Q2W+3bbcOkbfOLxCIGOLALsKS5skuageHjNz17N81KrLyZvTxbGzTgYvTQ==" saltValue="6q8EFM4PNn0DfUuhzc3q4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A16CA-2AF7-4875-9AC2-933D6B51FA53}">
  <sheetPr codeName="Planilha11">
    <tabColor rgb="FF00B050"/>
  </sheetPr>
  <dimension ref="A1:AR13"/>
  <sheetViews>
    <sheetView showGridLines="0" showRowColHeaders="0" zoomScale="70" zoomScaleNormal="70" workbookViewId="0"/>
  </sheetViews>
  <sheetFormatPr defaultRowHeight="30" customHeight="1" x14ac:dyDescent="0.25"/>
  <cols>
    <col min="1" max="1" width="11" style="11" bestFit="1" customWidth="1"/>
    <col min="2" max="2" width="2.140625" style="4" bestFit="1" customWidth="1"/>
    <col min="3" max="11" width="15.7109375" style="4" bestFit="1" customWidth="1"/>
    <col min="12" max="12" width="16" style="4" bestFit="1" customWidth="1"/>
    <col min="13" max="13" width="20.7109375" style="4" customWidth="1"/>
    <col min="14" max="14" width="16.5703125" style="4" bestFit="1" customWidth="1"/>
    <col min="15" max="15" width="16.5703125" style="4" customWidth="1"/>
    <col min="16" max="16" width="16.5703125" style="4" bestFit="1" customWidth="1"/>
    <col min="17" max="17" width="13.42578125" style="4" customWidth="1"/>
    <col min="18" max="16384" width="9.140625" style="4"/>
  </cols>
  <sheetData>
    <row r="1" spans="1:44" customFormat="1" ht="68.25" customHeight="1" x14ac:dyDescent="0.25">
      <c r="A1" s="7" t="s">
        <v>37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7" t="s">
        <v>37</v>
      </c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4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</row>
    <row r="3" spans="1:44" ht="15" x14ac:dyDescent="0.25">
      <c r="A3" s="4"/>
    </row>
    <row r="4" spans="1:44" ht="30" customHeight="1" x14ac:dyDescent="0.25">
      <c r="B4" s="1"/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</row>
    <row r="5" spans="1:44" ht="30" customHeight="1" x14ac:dyDescent="0.25">
      <c r="B5" s="1">
        <v>1</v>
      </c>
      <c r="C5" s="4" t="s">
        <v>137</v>
      </c>
      <c r="D5" s="4" t="s">
        <v>110</v>
      </c>
      <c r="E5" s="4" t="s">
        <v>110</v>
      </c>
      <c r="F5" s="4" t="s">
        <v>110</v>
      </c>
      <c r="G5" s="4" t="s">
        <v>110</v>
      </c>
      <c r="H5" s="4" t="s">
        <v>110</v>
      </c>
      <c r="I5" s="4" t="s">
        <v>110</v>
      </c>
      <c r="J5" s="4" t="s">
        <v>110</v>
      </c>
      <c r="K5" s="4" t="s">
        <v>110</v>
      </c>
    </row>
    <row r="6" spans="1:44" ht="30" customHeight="1" x14ac:dyDescent="0.25">
      <c r="B6" s="1">
        <v>2</v>
      </c>
      <c r="C6" s="4" t="s">
        <v>110</v>
      </c>
      <c r="D6" s="4" t="s">
        <v>138</v>
      </c>
      <c r="E6" s="4" t="s">
        <v>110</v>
      </c>
      <c r="F6" s="4" t="s">
        <v>110</v>
      </c>
      <c r="G6" s="4" t="s">
        <v>110</v>
      </c>
      <c r="H6" s="4" t="s">
        <v>110</v>
      </c>
      <c r="I6" s="4" t="s">
        <v>110</v>
      </c>
      <c r="J6" s="4" t="s">
        <v>110</v>
      </c>
      <c r="K6" s="4" t="s">
        <v>110</v>
      </c>
    </row>
    <row r="7" spans="1:44" ht="30" customHeight="1" x14ac:dyDescent="0.25">
      <c r="B7" s="1">
        <v>3</v>
      </c>
      <c r="C7" s="4" t="s">
        <v>110</v>
      </c>
      <c r="D7" s="4" t="s">
        <v>110</v>
      </c>
      <c r="E7" s="4" t="s">
        <v>139</v>
      </c>
      <c r="F7" s="4" t="s">
        <v>140</v>
      </c>
      <c r="G7" s="4" t="s">
        <v>140</v>
      </c>
      <c r="H7" s="4" t="s">
        <v>140</v>
      </c>
      <c r="I7" s="4" t="s">
        <v>140</v>
      </c>
      <c r="J7" s="4" t="s">
        <v>140</v>
      </c>
      <c r="K7" s="4" t="s">
        <v>140</v>
      </c>
    </row>
    <row r="8" spans="1:44" ht="30" customHeight="1" x14ac:dyDescent="0.25">
      <c r="B8" s="1">
        <v>4</v>
      </c>
      <c r="C8" s="4" t="s">
        <v>140</v>
      </c>
      <c r="D8" s="4" t="s">
        <v>140</v>
      </c>
      <c r="E8" s="4" t="s">
        <v>140</v>
      </c>
      <c r="F8" s="4" t="s">
        <v>192</v>
      </c>
      <c r="G8" s="4" t="s">
        <v>193</v>
      </c>
      <c r="H8" s="4" t="s">
        <v>194</v>
      </c>
      <c r="I8" s="4" t="s">
        <v>195</v>
      </c>
      <c r="J8" s="4" t="s">
        <v>196</v>
      </c>
      <c r="K8" s="4" t="s">
        <v>197</v>
      </c>
    </row>
    <row r="9" spans="1:44" ht="30" customHeight="1" x14ac:dyDescent="0.25">
      <c r="B9" s="1">
        <v>5</v>
      </c>
      <c r="C9" s="4" t="s">
        <v>110</v>
      </c>
      <c r="D9" s="4" t="s">
        <v>110</v>
      </c>
      <c r="E9" s="4" t="s">
        <v>110</v>
      </c>
      <c r="F9" s="4" t="s">
        <v>193</v>
      </c>
      <c r="G9" s="4" t="s">
        <v>198</v>
      </c>
      <c r="H9" s="4" t="s">
        <v>199</v>
      </c>
      <c r="I9" s="4" t="s">
        <v>200</v>
      </c>
      <c r="J9" s="4" t="s">
        <v>201</v>
      </c>
      <c r="K9" s="4" t="s">
        <v>202</v>
      </c>
    </row>
    <row r="10" spans="1:44" ht="30" customHeight="1" x14ac:dyDescent="0.25">
      <c r="B10" s="1">
        <v>6</v>
      </c>
      <c r="C10" s="4" t="s">
        <v>110</v>
      </c>
      <c r="D10" s="4" t="s">
        <v>110</v>
      </c>
      <c r="E10" s="4" t="s">
        <v>110</v>
      </c>
      <c r="F10" s="4" t="s">
        <v>194</v>
      </c>
      <c r="G10" s="4" t="s">
        <v>199</v>
      </c>
      <c r="H10" s="4" t="s">
        <v>203</v>
      </c>
      <c r="I10" s="4" t="s">
        <v>204</v>
      </c>
      <c r="J10" s="4" t="s">
        <v>205</v>
      </c>
      <c r="K10" s="4" t="s">
        <v>206</v>
      </c>
    </row>
    <row r="11" spans="1:44" ht="30" customHeight="1" x14ac:dyDescent="0.25">
      <c r="B11" s="1">
        <v>7</v>
      </c>
      <c r="C11" s="4" t="s">
        <v>140</v>
      </c>
      <c r="D11" s="4" t="s">
        <v>140</v>
      </c>
      <c r="E11" s="4" t="s">
        <v>140</v>
      </c>
      <c r="F11" s="4" t="s">
        <v>195</v>
      </c>
      <c r="G11" s="4" t="s">
        <v>200</v>
      </c>
      <c r="H11" s="4" t="s">
        <v>204</v>
      </c>
      <c r="I11" s="4" t="s">
        <v>207</v>
      </c>
      <c r="J11" s="4" t="s">
        <v>208</v>
      </c>
      <c r="K11" s="4" t="s">
        <v>209</v>
      </c>
    </row>
    <row r="12" spans="1:44" ht="30" customHeight="1" x14ac:dyDescent="0.25">
      <c r="B12" s="1">
        <v>8</v>
      </c>
      <c r="C12" s="4" t="s">
        <v>140</v>
      </c>
      <c r="D12" s="4" t="s">
        <v>140</v>
      </c>
      <c r="E12" s="4" t="s">
        <v>140</v>
      </c>
      <c r="F12" s="4" t="s">
        <v>196</v>
      </c>
      <c r="G12" s="4" t="s">
        <v>201</v>
      </c>
      <c r="H12" s="4" t="s">
        <v>205</v>
      </c>
      <c r="I12" s="4" t="s">
        <v>208</v>
      </c>
      <c r="J12" s="4" t="s">
        <v>210</v>
      </c>
      <c r="K12" s="4" t="s">
        <v>211</v>
      </c>
    </row>
    <row r="13" spans="1:44" ht="30" customHeight="1" x14ac:dyDescent="0.25">
      <c r="B13" s="1">
        <v>9</v>
      </c>
      <c r="C13" s="4" t="s">
        <v>110</v>
      </c>
      <c r="D13" s="4" t="s">
        <v>110</v>
      </c>
      <c r="E13" s="4" t="s">
        <v>110</v>
      </c>
      <c r="F13" s="4" t="s">
        <v>197</v>
      </c>
      <c r="G13" s="4" t="s">
        <v>202</v>
      </c>
      <c r="H13" s="4" t="s">
        <v>206</v>
      </c>
      <c r="I13" s="4" t="s">
        <v>209</v>
      </c>
      <c r="J13" s="4" t="s">
        <v>211</v>
      </c>
      <c r="K13" s="4" t="s">
        <v>212</v>
      </c>
    </row>
  </sheetData>
  <sheetProtection algorithmName="SHA-512" hashValue="9i32AO0gitMj0AYY7jORBbd95ZUuV6evYGD61pK+rZucQ1xeEyd9rpfuB4tstlGn5sMKsXFUaPyfQgmzcwsxZw==" saltValue="/WBXvQ3k8GXCVE3K/+KBhQ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1ACC4-C85A-489F-B59D-6D470DC2BC61}">
  <sheetPr codeName="Planilha13">
    <tabColor rgb="FF00B050"/>
  </sheetPr>
  <dimension ref="A1:AG45"/>
  <sheetViews>
    <sheetView showGridLines="0" showRowColHeaders="0" topLeftCell="A5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8" max="8" width="25.85546875" style="4" bestFit="1" customWidth="1"/>
    <col min="9" max="14" width="20.7109375" style="4" customWidth="1"/>
    <col min="15" max="15" width="9.140625" style="4"/>
    <col min="16" max="18" width="1.42578125" style="4" bestFit="1" customWidth="1"/>
    <col min="19" max="19" width="9.140625" style="4"/>
    <col min="20" max="20" width="1.42578125" style="4" bestFit="1" customWidth="1"/>
    <col min="21" max="16384" width="9.140625" style="4"/>
  </cols>
  <sheetData>
    <row r="1" spans="1:33" s="40" customFormat="1" ht="68.25" customHeight="1" x14ac:dyDescent="0.25">
      <c r="H1" s="41" t="s">
        <v>37</v>
      </c>
      <c r="I1" s="42"/>
      <c r="J1" s="42"/>
      <c r="K1" s="42"/>
      <c r="L1" s="42"/>
      <c r="M1" s="42"/>
      <c r="N1" s="42"/>
      <c r="O1" s="42"/>
      <c r="P1" s="41" t="s">
        <v>37</v>
      </c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s="40" customFormat="1" ht="38.25" customHeight="1" thickBot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33" s="40" customFormat="1" x14ac:dyDescent="0.25"/>
    <row r="4" spans="1:33" s="40" customFormat="1" ht="28.5" x14ac:dyDescent="0.45">
      <c r="H4" s="70" t="str">
        <f>Configuração!P7</f>
        <v>Exemplo 12 Barras - Mais Complexo</v>
      </c>
      <c r="I4" s="70"/>
      <c r="J4" s="70"/>
      <c r="K4" s="70"/>
      <c r="L4" s="70"/>
      <c r="M4" s="70"/>
      <c r="N4" s="70"/>
    </row>
    <row r="5" spans="1:33" s="40" customFormat="1" x14ac:dyDescent="0.25">
      <c r="H5"/>
      <c r="I5"/>
      <c r="J5"/>
      <c r="K5"/>
      <c r="L5"/>
      <c r="M5"/>
      <c r="N5"/>
    </row>
    <row r="6" spans="1:33" customFormat="1" x14ac:dyDescent="0.25">
      <c r="H6" s="50" t="s">
        <v>296</v>
      </c>
    </row>
    <row r="7" spans="1:33" x14ac:dyDescent="0.25">
      <c r="H7" s="68" t="s">
        <v>108</v>
      </c>
      <c r="I7" s="69"/>
      <c r="J7" s="69"/>
      <c r="K7" s="69"/>
      <c r="L7" s="69"/>
      <c r="M7" s="69"/>
      <c r="N7" s="69"/>
    </row>
    <row r="8" spans="1:33" x14ac:dyDescent="0.25">
      <c r="H8" s="44" t="s">
        <v>84</v>
      </c>
      <c r="I8" s="45" t="s">
        <v>51</v>
      </c>
      <c r="J8" s="45" t="s">
        <v>52</v>
      </c>
      <c r="K8" s="45" t="s">
        <v>53</v>
      </c>
      <c r="L8" s="45" t="s">
        <v>71</v>
      </c>
      <c r="M8" s="45" t="s">
        <v>54</v>
      </c>
      <c r="N8" s="45" t="s">
        <v>55</v>
      </c>
    </row>
    <row r="9" spans="1:33" x14ac:dyDescent="0.25">
      <c r="H9" s="1" t="s">
        <v>213</v>
      </c>
      <c r="I9" s="4" t="s">
        <v>213</v>
      </c>
      <c r="J9" s="4" t="s">
        <v>214</v>
      </c>
      <c r="K9" s="4" t="s">
        <v>215</v>
      </c>
      <c r="L9" s="4" t="s">
        <v>90</v>
      </c>
      <c r="M9" s="4" t="s">
        <v>213</v>
      </c>
      <c r="N9" s="4" t="s">
        <v>90</v>
      </c>
    </row>
    <row r="10" spans="1:33" x14ac:dyDescent="0.25">
      <c r="H10" s="68" t="s">
        <v>85</v>
      </c>
      <c r="I10" s="69"/>
      <c r="J10" s="69"/>
      <c r="K10" s="69"/>
      <c r="L10" s="69"/>
      <c r="M10" s="69"/>
      <c r="N10" s="69"/>
    </row>
    <row r="11" spans="1:33" x14ac:dyDescent="0.25">
      <c r="H11" s="44" t="s">
        <v>83</v>
      </c>
      <c r="I11" s="46" t="s">
        <v>51</v>
      </c>
      <c r="J11" s="46" t="s">
        <v>52</v>
      </c>
      <c r="K11" s="46" t="s">
        <v>53</v>
      </c>
      <c r="L11" s="46" t="s">
        <v>71</v>
      </c>
      <c r="M11" s="46" t="s">
        <v>54</v>
      </c>
      <c r="N11" s="46" t="s">
        <v>55</v>
      </c>
    </row>
    <row r="12" spans="1:33" x14ac:dyDescent="0.25">
      <c r="H12" s="1">
        <v>1</v>
      </c>
      <c r="I12" s="4" t="s">
        <v>216</v>
      </c>
      <c r="J12" s="4" t="s">
        <v>217</v>
      </c>
      <c r="K12" s="4" t="s">
        <v>218</v>
      </c>
      <c r="L12" s="4" t="s">
        <v>90</v>
      </c>
      <c r="M12" s="4" t="s">
        <v>216</v>
      </c>
      <c r="N12" s="4" t="s">
        <v>90</v>
      </c>
    </row>
    <row r="13" spans="1:33" x14ac:dyDescent="0.25">
      <c r="H13" s="1">
        <v>2</v>
      </c>
      <c r="I13" s="4" t="s">
        <v>219</v>
      </c>
      <c r="J13" s="4" t="s">
        <v>220</v>
      </c>
      <c r="K13" s="4" t="s">
        <v>221</v>
      </c>
      <c r="L13" s="4" t="s">
        <v>90</v>
      </c>
      <c r="M13" s="4" t="s">
        <v>219</v>
      </c>
      <c r="N13" s="4" t="s">
        <v>90</v>
      </c>
    </row>
    <row r="14" spans="1:33" x14ac:dyDescent="0.25">
      <c r="H14" s="1">
        <v>3</v>
      </c>
      <c r="I14" s="4" t="s">
        <v>222</v>
      </c>
      <c r="J14" s="4" t="s">
        <v>223</v>
      </c>
      <c r="K14" s="4" t="s">
        <v>224</v>
      </c>
      <c r="L14" s="4" t="s">
        <v>90</v>
      </c>
      <c r="M14" s="4" t="s">
        <v>222</v>
      </c>
      <c r="N14" s="4" t="s">
        <v>90</v>
      </c>
    </row>
    <row r="15" spans="1:33" x14ac:dyDescent="0.25">
      <c r="H15" s="1">
        <v>4</v>
      </c>
      <c r="I15" s="4" t="s">
        <v>225</v>
      </c>
      <c r="J15" s="4" t="s">
        <v>226</v>
      </c>
      <c r="K15" s="4" t="s">
        <v>227</v>
      </c>
      <c r="L15" s="4" t="s">
        <v>90</v>
      </c>
      <c r="M15" s="4" t="s">
        <v>225</v>
      </c>
      <c r="N15" s="4" t="s">
        <v>90</v>
      </c>
    </row>
    <row r="16" spans="1:33" x14ac:dyDescent="0.25">
      <c r="H16" s="1">
        <v>5</v>
      </c>
      <c r="I16" s="4" t="s">
        <v>228</v>
      </c>
      <c r="J16" s="4" t="s">
        <v>229</v>
      </c>
      <c r="K16" s="4" t="s">
        <v>230</v>
      </c>
      <c r="L16" s="4" t="s">
        <v>90</v>
      </c>
      <c r="M16" s="4" t="s">
        <v>228</v>
      </c>
      <c r="N16" s="4" t="s">
        <v>90</v>
      </c>
    </row>
    <row r="17" spans="8:14" x14ac:dyDescent="0.25">
      <c r="H17" s="1">
        <v>6</v>
      </c>
      <c r="I17" s="4" t="s">
        <v>231</v>
      </c>
      <c r="J17" s="4" t="s">
        <v>232</v>
      </c>
      <c r="K17" s="4" t="s">
        <v>233</v>
      </c>
      <c r="L17" s="4" t="s">
        <v>90</v>
      </c>
      <c r="M17" s="4" t="s">
        <v>231</v>
      </c>
      <c r="N17" s="4" t="s">
        <v>90</v>
      </c>
    </row>
    <row r="18" spans="8:14" x14ac:dyDescent="0.25">
      <c r="H18" s="1">
        <v>7</v>
      </c>
      <c r="I18" s="4" t="s">
        <v>234</v>
      </c>
      <c r="J18" s="4" t="s">
        <v>235</v>
      </c>
      <c r="K18" s="4" t="s">
        <v>236</v>
      </c>
      <c r="L18" s="4" t="s">
        <v>90</v>
      </c>
      <c r="M18" s="4" t="s">
        <v>234</v>
      </c>
      <c r="N18" s="4" t="s">
        <v>90</v>
      </c>
    </row>
    <row r="19" spans="8:14" x14ac:dyDescent="0.25">
      <c r="H19" s="1">
        <v>8</v>
      </c>
      <c r="I19" s="4" t="s">
        <v>237</v>
      </c>
      <c r="J19" s="4" t="s">
        <v>238</v>
      </c>
      <c r="K19" s="4" t="s">
        <v>239</v>
      </c>
      <c r="L19" s="4" t="s">
        <v>90</v>
      </c>
      <c r="M19" s="4" t="s">
        <v>237</v>
      </c>
      <c r="N19" s="4" t="s">
        <v>90</v>
      </c>
    </row>
    <row r="20" spans="8:14" x14ac:dyDescent="0.25">
      <c r="H20" s="1">
        <v>9</v>
      </c>
      <c r="I20" s="4" t="s">
        <v>240</v>
      </c>
      <c r="J20" s="4" t="s">
        <v>241</v>
      </c>
      <c r="K20" s="4" t="s">
        <v>242</v>
      </c>
      <c r="L20" s="4" t="s">
        <v>90</v>
      </c>
      <c r="M20" s="4" t="s">
        <v>240</v>
      </c>
      <c r="N20" s="4" t="s">
        <v>90</v>
      </c>
    </row>
    <row r="21" spans="8:14" x14ac:dyDescent="0.25">
      <c r="H21" s="68" t="s">
        <v>86</v>
      </c>
      <c r="I21" s="69"/>
      <c r="J21" s="69"/>
      <c r="K21" s="69"/>
      <c r="L21" s="69"/>
      <c r="M21" s="69"/>
      <c r="N21" s="69"/>
    </row>
    <row r="22" spans="8:14" x14ac:dyDescent="0.25">
      <c r="H22" s="44" t="s">
        <v>87</v>
      </c>
      <c r="I22" s="47" t="s">
        <v>51</v>
      </c>
      <c r="J22" s="47" t="s">
        <v>52</v>
      </c>
      <c r="K22" s="47" t="s">
        <v>53</v>
      </c>
      <c r="L22" s="47" t="s">
        <v>71</v>
      </c>
      <c r="M22" s="47" t="s">
        <v>54</v>
      </c>
      <c r="N22" s="47" t="s">
        <v>55</v>
      </c>
    </row>
    <row r="23" spans="8:14" x14ac:dyDescent="0.25">
      <c r="H23" s="1" t="s">
        <v>70</v>
      </c>
      <c r="I23" s="4" t="s">
        <v>243</v>
      </c>
      <c r="J23" s="4" t="s">
        <v>244</v>
      </c>
      <c r="K23" s="4" t="s">
        <v>245</v>
      </c>
      <c r="L23" s="4" t="s">
        <v>90</v>
      </c>
      <c r="M23" s="4" t="s">
        <v>243</v>
      </c>
      <c r="N23" s="4" t="s">
        <v>90</v>
      </c>
    </row>
    <row r="24" spans="8:14" x14ac:dyDescent="0.25">
      <c r="H24" s="1" t="s">
        <v>100</v>
      </c>
      <c r="I24" s="4" t="s">
        <v>246</v>
      </c>
      <c r="J24" s="4" t="s">
        <v>247</v>
      </c>
      <c r="K24" s="4" t="s">
        <v>248</v>
      </c>
      <c r="L24" s="4" t="s">
        <v>90</v>
      </c>
      <c r="M24" s="4" t="s">
        <v>246</v>
      </c>
      <c r="N24" s="4" t="s">
        <v>90</v>
      </c>
    </row>
    <row r="25" spans="8:14" x14ac:dyDescent="0.25">
      <c r="H25" s="1" t="s">
        <v>101</v>
      </c>
      <c r="I25" s="4" t="s">
        <v>249</v>
      </c>
      <c r="J25" s="4" t="s">
        <v>250</v>
      </c>
      <c r="K25" s="4" t="s">
        <v>251</v>
      </c>
      <c r="L25" s="4" t="s">
        <v>90</v>
      </c>
      <c r="M25" s="4" t="s">
        <v>249</v>
      </c>
      <c r="N25" s="4" t="s">
        <v>90</v>
      </c>
    </row>
    <row r="26" spans="8:14" x14ac:dyDescent="0.25">
      <c r="H26" s="1" t="s">
        <v>102</v>
      </c>
      <c r="I26" s="4" t="s">
        <v>252</v>
      </c>
      <c r="J26" s="4" t="s">
        <v>253</v>
      </c>
      <c r="K26" s="4" t="s">
        <v>254</v>
      </c>
      <c r="L26" s="4" t="s">
        <v>90</v>
      </c>
      <c r="M26" s="4" t="s">
        <v>252</v>
      </c>
      <c r="N26" s="4" t="s">
        <v>90</v>
      </c>
    </row>
    <row r="27" spans="8:14" x14ac:dyDescent="0.25">
      <c r="H27" s="1" t="s">
        <v>103</v>
      </c>
      <c r="I27" s="4" t="s">
        <v>255</v>
      </c>
      <c r="J27" s="4" t="s">
        <v>256</v>
      </c>
      <c r="K27" s="4" t="s">
        <v>257</v>
      </c>
      <c r="L27" s="4" t="s">
        <v>90</v>
      </c>
      <c r="M27" s="4" t="s">
        <v>255</v>
      </c>
      <c r="N27" s="4" t="s">
        <v>90</v>
      </c>
    </row>
    <row r="28" spans="8:14" x14ac:dyDescent="0.25">
      <c r="H28" s="1" t="s">
        <v>104</v>
      </c>
      <c r="I28" s="4" t="s">
        <v>258</v>
      </c>
      <c r="J28" s="4" t="s">
        <v>259</v>
      </c>
      <c r="K28" s="4" t="s">
        <v>260</v>
      </c>
      <c r="L28" s="4" t="s">
        <v>90</v>
      </c>
      <c r="M28" s="4" t="s">
        <v>258</v>
      </c>
      <c r="N28" s="4" t="s">
        <v>90</v>
      </c>
    </row>
    <row r="29" spans="8:14" x14ac:dyDescent="0.25">
      <c r="H29" s="1" t="s">
        <v>31</v>
      </c>
      <c r="I29" s="4" t="s">
        <v>261</v>
      </c>
      <c r="J29" s="4" t="s">
        <v>262</v>
      </c>
      <c r="K29" s="4" t="s">
        <v>263</v>
      </c>
      <c r="L29" s="4" t="s">
        <v>90</v>
      </c>
      <c r="M29" s="4" t="s">
        <v>261</v>
      </c>
      <c r="N29" s="4" t="s">
        <v>90</v>
      </c>
    </row>
    <row r="30" spans="8:14" x14ac:dyDescent="0.25">
      <c r="H30" s="1" t="s">
        <v>61</v>
      </c>
      <c r="I30" s="4" t="s">
        <v>264</v>
      </c>
      <c r="J30" s="4" t="s">
        <v>265</v>
      </c>
      <c r="K30" s="4" t="s">
        <v>266</v>
      </c>
      <c r="L30" s="4" t="s">
        <v>90</v>
      </c>
      <c r="M30" s="4" t="s">
        <v>264</v>
      </c>
      <c r="N30" s="4" t="s">
        <v>90</v>
      </c>
    </row>
    <row r="31" spans="8:14" x14ac:dyDescent="0.25">
      <c r="H31" s="1" t="s">
        <v>105</v>
      </c>
      <c r="I31" s="4" t="s">
        <v>267</v>
      </c>
      <c r="J31" s="4" t="s">
        <v>268</v>
      </c>
      <c r="K31" s="4" t="s">
        <v>269</v>
      </c>
      <c r="L31" s="4" t="s">
        <v>90</v>
      </c>
      <c r="M31" s="4" t="s">
        <v>267</v>
      </c>
      <c r="N31" s="4" t="s">
        <v>90</v>
      </c>
    </row>
    <row r="32" spans="8:14" x14ac:dyDescent="0.25">
      <c r="H32" s="1" t="s">
        <v>97</v>
      </c>
      <c r="I32" s="4" t="s">
        <v>270</v>
      </c>
      <c r="J32" s="4" t="s">
        <v>271</v>
      </c>
      <c r="K32" s="4" t="s">
        <v>272</v>
      </c>
      <c r="L32" s="4" t="s">
        <v>90</v>
      </c>
      <c r="M32" s="4" t="s">
        <v>270</v>
      </c>
      <c r="N32" s="4" t="s">
        <v>90</v>
      </c>
    </row>
    <row r="33" spans="8:14" x14ac:dyDescent="0.25">
      <c r="H33" s="1" t="s">
        <v>106</v>
      </c>
      <c r="I33" s="4" t="s">
        <v>273</v>
      </c>
      <c r="J33" s="4" t="s">
        <v>274</v>
      </c>
      <c r="K33" s="4" t="s">
        <v>275</v>
      </c>
      <c r="L33" s="4" t="s">
        <v>90</v>
      </c>
      <c r="M33" s="4" t="s">
        <v>273</v>
      </c>
      <c r="N33" s="4" t="s">
        <v>90</v>
      </c>
    </row>
    <row r="34" spans="8:14" x14ac:dyDescent="0.25">
      <c r="H34" s="1" t="s">
        <v>107</v>
      </c>
      <c r="I34" s="4" t="s">
        <v>276</v>
      </c>
      <c r="J34" s="4" t="s">
        <v>277</v>
      </c>
      <c r="K34" s="4" t="s">
        <v>278</v>
      </c>
      <c r="L34" s="4" t="s">
        <v>90</v>
      </c>
      <c r="M34" s="4" t="s">
        <v>276</v>
      </c>
      <c r="N34" s="4" t="s">
        <v>90</v>
      </c>
    </row>
    <row r="35" spans="8:14" x14ac:dyDescent="0.25">
      <c r="H35" s="1" t="s">
        <v>91</v>
      </c>
      <c r="I35" s="4" t="s">
        <v>261</v>
      </c>
      <c r="J35" s="4" t="s">
        <v>262</v>
      </c>
      <c r="K35" s="4" t="s">
        <v>263</v>
      </c>
      <c r="L35" s="4" t="s">
        <v>90</v>
      </c>
      <c r="M35" s="4" t="s">
        <v>261</v>
      </c>
      <c r="N35" s="4" t="s">
        <v>90</v>
      </c>
    </row>
    <row r="36" spans="8:14" x14ac:dyDescent="0.25">
      <c r="H36" s="1" t="s">
        <v>94</v>
      </c>
      <c r="I36" s="4" t="s">
        <v>279</v>
      </c>
      <c r="J36" s="4" t="s">
        <v>280</v>
      </c>
      <c r="K36" s="4" t="s">
        <v>281</v>
      </c>
      <c r="L36" s="4" t="s">
        <v>90</v>
      </c>
      <c r="M36" s="4" t="s">
        <v>279</v>
      </c>
      <c r="N36" s="4" t="s">
        <v>90</v>
      </c>
    </row>
    <row r="37" spans="8:14" x14ac:dyDescent="0.25">
      <c r="H37" s="1" t="s">
        <v>95</v>
      </c>
      <c r="I37" s="4" t="s">
        <v>264</v>
      </c>
      <c r="J37" s="4" t="s">
        <v>265</v>
      </c>
      <c r="K37" s="4" t="s">
        <v>266</v>
      </c>
      <c r="L37" s="4" t="s">
        <v>90</v>
      </c>
      <c r="M37" s="4" t="s">
        <v>264</v>
      </c>
      <c r="N37" s="4" t="s">
        <v>90</v>
      </c>
    </row>
    <row r="38" spans="8:14" x14ac:dyDescent="0.25">
      <c r="H38" s="1" t="s">
        <v>92</v>
      </c>
      <c r="I38" s="4" t="s">
        <v>282</v>
      </c>
      <c r="J38" s="4" t="s">
        <v>283</v>
      </c>
      <c r="K38" s="4" t="s">
        <v>284</v>
      </c>
      <c r="L38" s="4" t="s">
        <v>90</v>
      </c>
      <c r="M38" s="4" t="s">
        <v>282</v>
      </c>
      <c r="N38" s="4" t="s">
        <v>90</v>
      </c>
    </row>
    <row r="39" spans="8:14" x14ac:dyDescent="0.25">
      <c r="H39" s="1" t="s">
        <v>96</v>
      </c>
      <c r="I39" s="4" t="s">
        <v>267</v>
      </c>
      <c r="J39" s="4" t="s">
        <v>268</v>
      </c>
      <c r="K39" s="4" t="s">
        <v>269</v>
      </c>
      <c r="L39" s="4" t="s">
        <v>90</v>
      </c>
      <c r="M39" s="4" t="s">
        <v>267</v>
      </c>
      <c r="N39" s="4" t="s">
        <v>90</v>
      </c>
    </row>
    <row r="40" spans="8:14" x14ac:dyDescent="0.25">
      <c r="H40" s="1" t="s">
        <v>93</v>
      </c>
      <c r="I40" s="4" t="s">
        <v>285</v>
      </c>
      <c r="J40" s="4" t="s">
        <v>286</v>
      </c>
      <c r="K40" s="4" t="s">
        <v>287</v>
      </c>
      <c r="L40" s="4" t="s">
        <v>90</v>
      </c>
      <c r="M40" s="4" t="s">
        <v>285</v>
      </c>
      <c r="N40" s="4" t="s">
        <v>90</v>
      </c>
    </row>
    <row r="41" spans="8:14" x14ac:dyDescent="0.25">
      <c r="H41" s="68" t="s">
        <v>89</v>
      </c>
      <c r="I41" s="69"/>
      <c r="J41" s="69"/>
      <c r="K41" s="69"/>
      <c r="L41" s="69"/>
      <c r="M41" s="69"/>
      <c r="N41" s="69"/>
    </row>
    <row r="42" spans="8:14" x14ac:dyDescent="0.25">
      <c r="H42" s="44" t="s">
        <v>83</v>
      </c>
      <c r="I42" s="49" t="s">
        <v>51</v>
      </c>
      <c r="J42" s="49" t="s">
        <v>52</v>
      </c>
      <c r="K42" s="49" t="s">
        <v>53</v>
      </c>
      <c r="L42" s="49" t="s">
        <v>71</v>
      </c>
      <c r="M42" s="49" t="s">
        <v>54</v>
      </c>
      <c r="N42" s="49" t="s">
        <v>55</v>
      </c>
    </row>
    <row r="43" spans="8:14" x14ac:dyDescent="0.25">
      <c r="H43" s="1">
        <v>1</v>
      </c>
      <c r="I43" s="4" t="s">
        <v>261</v>
      </c>
      <c r="J43" s="4" t="s">
        <v>288</v>
      </c>
      <c r="K43" s="4" t="s">
        <v>289</v>
      </c>
      <c r="L43" s="4" t="s">
        <v>90</v>
      </c>
      <c r="M43" s="4" t="s">
        <v>261</v>
      </c>
      <c r="N43" s="4" t="s">
        <v>90</v>
      </c>
    </row>
    <row r="44" spans="8:14" x14ac:dyDescent="0.25">
      <c r="H44" s="1">
        <v>2</v>
      </c>
      <c r="I44" s="4" t="s">
        <v>264</v>
      </c>
      <c r="J44" s="4" t="s">
        <v>290</v>
      </c>
      <c r="K44" s="4" t="s">
        <v>291</v>
      </c>
      <c r="L44" s="4" t="s">
        <v>90</v>
      </c>
      <c r="M44" s="4" t="s">
        <v>264</v>
      </c>
      <c r="N44" s="4" t="s">
        <v>90</v>
      </c>
    </row>
    <row r="45" spans="8:14" x14ac:dyDescent="0.25">
      <c r="H45" s="1">
        <v>3</v>
      </c>
      <c r="I45" s="4" t="s">
        <v>267</v>
      </c>
      <c r="J45" s="4" t="s">
        <v>292</v>
      </c>
      <c r="K45" s="4" t="s">
        <v>293</v>
      </c>
      <c r="L45" s="4" t="s">
        <v>90</v>
      </c>
      <c r="M45" s="4" t="s">
        <v>267</v>
      </c>
      <c r="N45" s="4" t="s">
        <v>90</v>
      </c>
    </row>
  </sheetData>
  <sheetProtection algorithmName="SHA-512" hashValue="g3RR2M7wgwEca+h1HhKbLgAkT7IVHyhY+tDEQi3v82/4u6Q/khVB52en39voDSNlf0CgWQewVi6PRZjv/WgutA==" saltValue="Z0GIc4XvqN7iB6Omh1Vosw==" spinCount="100000" sheet="1" objects="1" scenarios="1" selectLockedCells="1"/>
  <mergeCells count="5">
    <mergeCell ref="H41:N41"/>
    <mergeCell ref="H7:N7"/>
    <mergeCell ref="H4:N4"/>
    <mergeCell ref="H10:N10"/>
    <mergeCell ref="H21:N21"/>
  </mergeCells>
  <pageMargins left="0.51181100000000002" right="0.51181100000000002" top="0.78740200000000005" bottom="0.78740200000000005" header="0.31496099999999999" footer="0.31496099999999999"/>
  <pageSetup paperSize="9" scale="55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Imprimir">
                <anchor moveWithCells="1" sizeWithCells="1">
                  <from>
                    <xdr:col>13</xdr:col>
                    <xdr:colOff>190500</xdr:colOff>
                    <xdr:row>2</xdr:row>
                    <xdr:rowOff>190500</xdr:rowOff>
                  </from>
                  <to>
                    <xdr:col>14</xdr:col>
                    <xdr:colOff>590550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5C129-2A27-4523-8DEB-7E0E7B4DA14C}">
  <sheetPr codeName="Planilha12">
    <tabColor theme="6" tint="-0.499984740745262"/>
  </sheetPr>
  <dimension ref="H16"/>
  <sheetViews>
    <sheetView workbookViewId="0"/>
  </sheetViews>
  <sheetFormatPr defaultRowHeight="15" x14ac:dyDescent="0.25"/>
  <sheetData>
    <row r="16" spans="8:8" x14ac:dyDescent="0.25">
      <c r="H16" s="48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C9152-E01D-4BA2-8F18-E5F764330256}">
  <sheetPr codeName="Planilha14">
    <tabColor theme="7" tint="0.59999389629810485"/>
  </sheetPr>
  <dimension ref="A1:AO8"/>
  <sheetViews>
    <sheetView zoomScaleNormal="100" workbookViewId="0">
      <selection activeCell="A8" sqref="A8:Q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" style="25" bestFit="1" customWidth="1"/>
    <col min="2" max="2" width="25.7109375" style="25" bestFit="1" customWidth="1"/>
    <col min="3" max="3" width="13.28515625" style="25" bestFit="1" customWidth="1"/>
    <col min="4" max="4" width="24.28515625" style="25" bestFit="1" customWidth="1"/>
    <col min="5" max="5" width="15" style="25" bestFit="1" customWidth="1"/>
    <col min="6" max="8" width="27" style="25" customWidth="1"/>
    <col min="9" max="9" width="11.42578125" style="25" bestFit="1" customWidth="1"/>
    <col min="10" max="10" width="11.42578125" style="25" customWidth="1"/>
    <col min="11" max="11" width="13" style="25" customWidth="1"/>
    <col min="12" max="12" width="13.140625" style="25" customWidth="1"/>
    <col min="13" max="13" width="20.28515625" style="25" customWidth="1"/>
    <col min="14" max="15" width="16.5703125" style="4" bestFit="1" customWidth="1"/>
    <col min="16" max="16" width="15.7109375" style="4" customWidth="1"/>
    <col min="17" max="17" width="16.5703125" style="4" customWidth="1"/>
    <col min="18" max="16384" width="9.140625" style="4"/>
  </cols>
  <sheetData>
    <row r="1" spans="1:41" customFormat="1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7" t="s">
        <v>37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customFormat="1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</row>
    <row r="3" spans="1:4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4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41" s="2" customFormat="1" ht="15.75" thickBot="1" x14ac:dyDescent="0.3">
      <c r="A5" s="30" t="s">
        <v>1</v>
      </c>
      <c r="B5" s="29" t="s">
        <v>4</v>
      </c>
      <c r="C5" s="29" t="s">
        <v>79</v>
      </c>
      <c r="D5" s="29" t="s">
        <v>17</v>
      </c>
      <c r="E5" s="29" t="s">
        <v>80</v>
      </c>
      <c r="F5" s="29" t="s">
        <v>18</v>
      </c>
      <c r="G5" s="29" t="s">
        <v>81</v>
      </c>
      <c r="H5" s="29" t="s">
        <v>82</v>
      </c>
      <c r="I5" s="29" t="s">
        <v>20</v>
      </c>
      <c r="J5" s="29" t="s">
        <v>21</v>
      </c>
      <c r="K5" s="29" t="s">
        <v>58</v>
      </c>
      <c r="L5" s="29" t="s">
        <v>59</v>
      </c>
      <c r="M5" s="29" t="s">
        <v>6</v>
      </c>
      <c r="N5" s="29" t="s">
        <v>34</v>
      </c>
      <c r="O5" s="29" t="s">
        <v>35</v>
      </c>
      <c r="P5" s="29" t="s">
        <v>60</v>
      </c>
      <c r="Q5" s="29" t="s">
        <v>72</v>
      </c>
    </row>
    <row r="6" spans="1:41" x14ac:dyDescent="0.25">
      <c r="A6" s="25" t="s">
        <v>327</v>
      </c>
      <c r="B6" s="25">
        <v>100</v>
      </c>
      <c r="C6" s="25">
        <v>10</v>
      </c>
      <c r="D6" s="25">
        <v>0.22</v>
      </c>
      <c r="E6" s="25">
        <v>1</v>
      </c>
      <c r="F6" s="25">
        <v>13.8</v>
      </c>
      <c r="G6" s="71">
        <v>4</v>
      </c>
      <c r="H6" s="71">
        <v>230</v>
      </c>
      <c r="I6" s="26">
        <v>10</v>
      </c>
      <c r="J6" s="26">
        <v>10</v>
      </c>
      <c r="K6" s="26">
        <v>10</v>
      </c>
      <c r="L6" s="26">
        <v>10</v>
      </c>
      <c r="M6" s="25" t="s">
        <v>330</v>
      </c>
      <c r="N6" s="4">
        <v>10</v>
      </c>
      <c r="O6" s="4">
        <v>10</v>
      </c>
      <c r="P6" s="4">
        <v>10</v>
      </c>
      <c r="Q6" s="4">
        <v>10</v>
      </c>
    </row>
    <row r="7" spans="1:41" x14ac:dyDescent="0.25">
      <c r="A7" s="25" t="s">
        <v>326</v>
      </c>
      <c r="B7" s="25">
        <v>100</v>
      </c>
      <c r="C7" s="25">
        <v>7</v>
      </c>
      <c r="D7" s="25">
        <v>500</v>
      </c>
      <c r="E7" s="25">
        <v>3</v>
      </c>
      <c r="F7" s="25">
        <v>230</v>
      </c>
      <c r="G7" s="71">
        <v>1</v>
      </c>
      <c r="H7" s="71">
        <v>13.8</v>
      </c>
      <c r="I7" s="25">
        <v>10</v>
      </c>
      <c r="J7" s="25">
        <v>10</v>
      </c>
      <c r="K7" s="25">
        <v>10</v>
      </c>
      <c r="L7" s="25">
        <v>10</v>
      </c>
      <c r="M7" s="25" t="s">
        <v>330</v>
      </c>
      <c r="N7" s="4">
        <v>10</v>
      </c>
      <c r="O7" s="4">
        <v>10</v>
      </c>
      <c r="P7" s="4">
        <v>10</v>
      </c>
      <c r="Q7" s="4">
        <v>10</v>
      </c>
    </row>
    <row r="8" spans="1:41" x14ac:dyDescent="0.25">
      <c r="G8" s="71"/>
      <c r="H8" s="71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2D06F-5569-4E29-B8BB-95FB37DE8E76}">
  <dimension ref="A1:Q2"/>
  <sheetViews>
    <sheetView workbookViewId="0">
      <selection sqref="A1:XFD2"/>
    </sheetView>
  </sheetViews>
  <sheetFormatPr defaultRowHeight="15" x14ac:dyDescent="0.25"/>
  <sheetData>
    <row r="1" spans="1:17" s="4" customFormat="1" ht="15.75" thickBot="1" x14ac:dyDescent="0.3">
      <c r="A1" s="36" t="s">
        <v>325</v>
      </c>
      <c r="B1" s="28">
        <v>100</v>
      </c>
      <c r="C1" s="26">
        <v>5</v>
      </c>
      <c r="D1" s="35">
        <v>13.8</v>
      </c>
      <c r="E1" s="26">
        <v>3</v>
      </c>
      <c r="F1" s="35">
        <v>230</v>
      </c>
      <c r="G1" s="38">
        <v>7</v>
      </c>
      <c r="H1" s="35">
        <v>500</v>
      </c>
      <c r="I1" s="26">
        <v>10</v>
      </c>
      <c r="J1" s="26">
        <v>10</v>
      </c>
      <c r="K1" s="26">
        <v>10</v>
      </c>
      <c r="L1" s="26">
        <v>10</v>
      </c>
      <c r="M1" s="26" t="s">
        <v>328</v>
      </c>
      <c r="N1" s="27">
        <v>10</v>
      </c>
      <c r="O1" s="27">
        <v>10</v>
      </c>
      <c r="P1" s="27">
        <v>10</v>
      </c>
      <c r="Q1" s="27">
        <v>10</v>
      </c>
    </row>
    <row r="2" spans="1:17" s="4" customFormat="1" x14ac:dyDescent="0.25">
      <c r="A2" s="25" t="s">
        <v>326</v>
      </c>
      <c r="B2" s="25">
        <v>100</v>
      </c>
      <c r="C2" s="25">
        <v>6</v>
      </c>
      <c r="D2" s="25">
        <v>6.6</v>
      </c>
      <c r="E2" s="25">
        <v>4</v>
      </c>
      <c r="F2" s="25">
        <v>230</v>
      </c>
      <c r="G2" s="71">
        <v>8</v>
      </c>
      <c r="H2" s="71">
        <v>500</v>
      </c>
      <c r="I2" s="26">
        <v>10</v>
      </c>
      <c r="J2" s="26">
        <v>10</v>
      </c>
      <c r="K2" s="26">
        <v>10</v>
      </c>
      <c r="L2" s="26">
        <v>10</v>
      </c>
      <c r="M2" s="25" t="s">
        <v>329</v>
      </c>
      <c r="N2" s="4">
        <v>10</v>
      </c>
      <c r="O2" s="4">
        <v>10</v>
      </c>
      <c r="P2" s="4">
        <v>10</v>
      </c>
      <c r="Q2" s="4">
        <v>10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474C8-B0BC-46AC-BCE2-C1BCCBB85C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3</vt:i4>
      </vt:variant>
    </vt:vector>
  </HeadingPairs>
  <TitlesOfParts>
    <vt:vector size="20" baseType="lpstr">
      <vt:lpstr>Dados Complementares</vt:lpstr>
      <vt:lpstr>Telas</vt:lpstr>
      <vt:lpstr>Rascunho Gráfico (2)</vt:lpstr>
      <vt:lpstr>Configuração</vt:lpstr>
      <vt:lpstr>Barra</vt:lpstr>
      <vt:lpstr>Linha</vt:lpstr>
      <vt:lpstr>Transformador</vt:lpstr>
      <vt:lpstr>Maquina</vt:lpstr>
      <vt:lpstr>Carga</vt:lpstr>
      <vt:lpstr>Y_Barra_1_2</vt:lpstr>
      <vt:lpstr>Z_Barra_1_2</vt:lpstr>
      <vt:lpstr>Y_Barra_0</vt:lpstr>
      <vt:lpstr>Z_Barra_0</vt:lpstr>
      <vt:lpstr>Relatório</vt:lpstr>
      <vt:lpstr>Diagrama Elétrico</vt:lpstr>
      <vt:lpstr>Transformador 3 Enrolamentos</vt:lpstr>
      <vt:lpstr>Planilha1</vt:lpstr>
      <vt:lpstr>Relatório!Area_de_impressao</vt:lpstr>
      <vt:lpstr>Potencia_Base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cp:lastPrinted>2025-06-13T14:43:04Z</cp:lastPrinted>
  <dcterms:created xsi:type="dcterms:W3CDTF">2025-04-14T12:09:01Z</dcterms:created>
  <dcterms:modified xsi:type="dcterms:W3CDTF">2025-06-27T17:09:54Z</dcterms:modified>
</cp:coreProperties>
</file>